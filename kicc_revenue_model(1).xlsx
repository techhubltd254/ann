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Pipeline Model" sheetId="3" state="visible" r:id="rId5"/>
    <sheet name="Category Summary" sheetId="4" state="visible" r:id="rId6"/>
    <sheet name="Advertising &amp; Media Co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<sst xmlns="http://schemas.openxmlformats.org/spreadsheetml/2006/main" count="320" uniqueCount="190">
  <si>
    <t xml:space="preserve">KICC — 87-Pipeline Revenue Model: Executive Summary</t>
  </si>
  <si>
    <t xml:space="preserve">Phased-launch, ramp-adjusted projection across all 87 catalog pipelines, net of advertising &amp; media cost. Figures are modeled estimates — see Assumptions tab.</t>
  </si>
  <si>
    <t xml:space="preserve">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</si>
  <si>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</si>
  <si>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</si>
  <si>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</si>
  <si>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</si>
  <si>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</si>
  <si>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revenue (KSh/yr)</t>
  </si>
  <si>
    <t xml:space="preserve">Less: advertising &amp; media cost (KSh/yr)</t>
  </si>
  <si>
    <t xml:space="preserve">   of which: Screentime (TV/digital/OOH)</t>
  </si>
  <si>
    <t xml:space="preserve">   of which: Airtime (radio/mobile)</t>
  </si>
  <si>
    <t xml:space="preserve">Net revenue after advertising (KSh/yr)</t>
  </si>
  <si>
    <t xml:space="preserve">Net revenue after advertising (USD/yr)</t>
  </si>
  <si>
    <t xml:space="preserve">Net run-rate at year-end (USD/month)</t>
  </si>
  <si>
    <t xml:space="preserve">Target run-rate (USD/month)</t>
  </si>
  <si>
    <t xml:space="preserve">Gap to target (USD/month)</t>
  </si>
  <si>
    <t xml:space="preserve">Key takeaways</t>
  </si>
  <si>
    <t xml:space="preserve">- Revenue compounds as later-wave pipelines (minerals, energy, financial services, flagship/investment) come</t>
  </si>
  <si>
    <t xml:space="preserve">  online and earlier waves (real estate, tourism, marketplace) mature past their ramp period.</t>
  </si>
  <si>
    <t xml:space="preserve">- Advertising &amp; media cost (screentime + airtime) is modeled as a declining share of revenue — KSh 33.7 million</t>
  </si>
  <si>
    <t xml:space="preserve">  in Year 1 rising to KSh 286.8 million in Year 5 — and is deducted before the net run-rate figures above.</t>
  </si>
  <si>
    <t xml:space="preserve">- Even net of advertising cost, the model lands short of a $12,000,000/month steady-state target by Year 5 —</t>
  </si>
  <si>
    <t xml:space="preserve">  the honest ceiling given realistic adoption ramps, not a shortfall to be closed by adding more pipelines.</t>
  </si>
  <si>
    <t xml:space="preserve">- Minerals, Energy, and Flagship/Investment lines are back-loaded (Year 3-5 launch) and licence/regulation-</t>
  </si>
  <si>
    <t xml:space="preserve">  gated in places (direct lending, equity), so they carry the most execution and regulatory risk in the model.</t>
  </si>
  <si>
    <t xml:space="preserve">KICC 87-Pipeline Revenue Model — Assumptions &amp; Methodology</t>
  </si>
  <si>
    <t xml:space="preserve">FX rate (KSh per USD)</t>
  </si>
  <si>
    <t xml:space="preserve">Input — update to current CBK reference rate</t>
  </si>
  <si>
    <t xml:space="preserve">Uniform scale factor applied to base pipeline-size estimates</t>
  </si>
  <si>
    <t xml:space="preserve">Input — sensitivity lever; see note below</t>
  </si>
  <si>
    <t xml:space="preserve">Adoption ramp curve (share of steady-state maturity revenue reached, by years since a pipeline's launch)</t>
  </si>
  <si>
    <t xml:space="preserve">Years since launch</t>
  </si>
  <si>
    <t xml:space="preserve">Ramp %</t>
  </si>
  <si>
    <t xml:space="preserve">Launch year itself: still ramping up (onboarding, trust-building)</t>
  </si>
  <si>
    <t xml:space="preserve">Year 5+ since launch: treated as fully mature for this model</t>
  </si>
  <si>
    <t xml:space="preserve">Advertising &amp; media spend — % of that year's revenue (economy-wide)</t>
  </si>
  <si>
    <t xml:space="preserve">Marketing % of revenue</t>
  </si>
  <si>
    <t xml:space="preserve">Declining spend-to-revenue ratio as the platform matures (word-of-mouth/repeat usage substitute for paid reach) — absolute KSh spend still grows with revenue.</t>
  </si>
  <si>
    <t xml:space="preserve">Advertising channel split by category — Screentime (TV, digital display/OOH, cinema) vs. Airtime (radio, mobile airtime/SMS, USSD)</t>
  </si>
  <si>
    <t xml:space="preserve">Category</t>
  </si>
  <si>
    <t xml:space="preserve">Screentime %</t>
  </si>
  <si>
    <t xml:space="preserve">Airtime %</t>
  </si>
  <si>
    <t xml:space="preserve">A. Agriculture</t>
  </si>
  <si>
    <t xml:space="preserve">Rural/smallholder-heavy categories skew to radio airtime; urban/digital-native categories skew to screentime.</t>
  </si>
  <si>
    <t xml:space="preserve">B. Minerals</t>
  </si>
  <si>
    <t xml:space="preserve">C. Industrial &amp; SEZ</t>
  </si>
  <si>
    <t xml:space="preserve">D. Energy &amp; Infra</t>
  </si>
  <si>
    <t xml:space="preserve">E. Real Estate</t>
  </si>
  <si>
    <t xml:space="preserve">F. Tourism</t>
  </si>
  <si>
    <t xml:space="preserve">G. Commerce &amp; Discovery</t>
  </si>
  <si>
    <t xml:space="preserve">H. Logistics</t>
  </si>
  <si>
    <t xml:space="preserve">I. Financial Services</t>
  </si>
  <si>
    <t xml:space="preserve">J. Government</t>
  </si>
  <si>
    <t xml:space="preserve">K. Additional Sectors</t>
  </si>
  <si>
    <t xml:space="preserve">L. RE Rental Expansion</t>
  </si>
  <si>
    <t xml:space="preserve">M. Flagship &amp; Investment</t>
  </si>
  <si>
    <t xml:space="preserve">Methodology notes</t>
  </si>
  <si>
    <t xml:space="preserve">1. Each of the 87 pipelines in the catalog is assigned a category, a Launch Year (1-5), and a Steady-State</t>
  </si>
  <si>
    <t xml:space="preserve">   Annual Revenue estimate at full maturity (KSh), on the 'Pipeline Model' sheet.</t>
  </si>
  <si>
    <t xml:space="preserve">2. Steady-state values are MODELED ESTIMATES, not sourced third-party market sizing. They were derived from</t>
  </si>
  <si>
    <t xml:space="preserve">   the qualitative scale signals in the pipeline catalog itself (e.g. 'largest single export earner' vs.</t>
  </si>
  <si>
    <t xml:space="preserve">   'early-stage/exploration', stated commission ranges). Replace with sourced sector data (KNBS, CBK, sector</t>
  </si>
  <si>
    <t xml:space="preserve">   board reports) before this model is used for fundraising or budget commitments.</t>
  </si>
  <si>
    <t xml:space="preserve">3. Revenue in any given year = Steady-State Value x Scale Factor x Ramp% for (current year - launch year).</t>
  </si>
  <si>
    <t xml:space="preserve">   A pipeline earns nothing before its launch year.</t>
  </si>
  <si>
    <t xml:space="preserve">4. Advertising &amp; media cost = that year's revenue x the marketing-to-revenue ratio above, split into</t>
  </si>
  <si>
    <t xml:space="preserve">   Screentime and Airtime by category on the 'Advertising &amp; Media Cost' sheet. This is modeled as a cost</t>
  </si>
  <si>
    <t xml:space="preserve">   of customer acquisition and retention, not a revenue line — it reduces net revenue.</t>
  </si>
  <si>
    <t xml:space="preserve">5. Pipelines that generate no new take rate of their own (Diaspora Gateway #43, Gov Portal Lead-Scoring #53,</t>
  </si>
  <si>
    <t xml:space="preserve">   the Rating Engine #79, and the Airline MOU infrastructure #82) are modeled at KSh 0 direct revenue — their</t>
  </si>
  <si>
    <t xml:space="preserve">   value is captured inside the pipelines they feed, avoiding double-counting.</t>
  </si>
  <si>
    <t xml:space="preserve">6. This is a launch-phasing/ramp model, not a market-share or bottom-up unit-economics model. Treat outputs</t>
  </si>
  <si>
    <t xml:space="preserve">   as directional, not a budget number.</t>
  </si>
  <si>
    <t xml:space="preserve">ID</t>
  </si>
  <si>
    <t xml:space="preserve">Pipeline</t>
  </si>
  <si>
    <t xml:space="preserve">Launch Year</t>
  </si>
  <si>
    <t xml:space="preserve">Steady-State Revenue at Maturity (KSh/yr)</t>
  </si>
  <si>
    <t xml:space="preserve">Year 1 (KSh)</t>
  </si>
  <si>
    <t xml:space="preserve">Year 2 (KSh)</t>
  </si>
  <si>
    <t xml:space="preserve">Year 3 (KSh)</t>
  </si>
  <si>
    <t xml:space="preserve">Year 4 (KSh)</t>
  </si>
  <si>
    <t xml:space="preserve">Year 5 (KSh)</t>
  </si>
  <si>
    <t xml:space="preserve">Coffee aggregation &amp; export match</t>
  </si>
  <si>
    <t xml:space="preserve">Tea (non-KTDA / specialty)</t>
  </si>
  <si>
    <t xml:space="preserve">Maize domestic distribution</t>
  </si>
  <si>
    <t xml:space="preserve">Sugarcane side-selling/verification</t>
  </si>
  <si>
    <t xml:space="preserve">Horticulture — cut flowers</t>
  </si>
  <si>
    <t xml:space="preserve">Horticulture — avocado</t>
  </si>
  <si>
    <t xml:space="preserve">Horticulture — macadamia</t>
  </si>
  <si>
    <t xml:space="preserve">Horticulture — French beans/veg</t>
  </si>
  <si>
    <t xml:space="preserve">Livestock &amp; dairy</t>
  </si>
  <si>
    <t xml:space="preserve">Poultry</t>
  </si>
  <si>
    <t xml:space="preserve">Cotton (feeds Pipeline 22)</t>
  </si>
  <si>
    <t xml:space="preserve">Fisheries &amp; blue economy</t>
  </si>
  <si>
    <t xml:space="preserve">Aquaculture</t>
  </si>
  <si>
    <t xml:space="preserve">Forestry &amp; timber (provenance)</t>
  </si>
  <si>
    <t xml:space="preserve">Edible oils / oilseeds</t>
  </si>
  <si>
    <t xml:space="preserve">Soda ash matchmaking</t>
  </si>
  <si>
    <t xml:space="preserve">Titanium / mineral sands matchmaking</t>
  </si>
  <si>
    <t xml:space="preserve">Gold (ASM formalization)</t>
  </si>
  <si>
    <t xml:space="preserve">Gemstones (tsavorite etc.)</t>
  </si>
  <si>
    <t xml:space="preserve">Limestone, sand &amp; aggregates</t>
  </si>
  <si>
    <t xml:space="preserve">Fluorspar/coal exploration data</t>
  </si>
  <si>
    <t xml:space="preserve">Textiles &amp; apparel investment matchmaking</t>
  </si>
  <si>
    <t xml:space="preserve">General Industrial/SEZ matchmaking</t>
  </si>
  <si>
    <t xml:space="preserve">Leather &amp; footwear manufacturing</t>
  </si>
  <si>
    <t xml:space="preserve">Compliance-as-a-service (SEZ)</t>
  </si>
  <si>
    <t xml:space="preserve">Workforce-matching-as-a-service</t>
  </si>
  <si>
    <t xml:space="preserve">Geothermal investment matchmaking</t>
  </si>
  <si>
    <t xml:space="preserve">Solar (utility + off-grid)</t>
  </si>
  <si>
    <t xml:space="preserve">Wind power matchmaking</t>
  </si>
  <si>
    <t xml:space="preserve">Water infrastructure &amp; bulk water</t>
  </si>
  <si>
    <t xml:space="preserve">Residential sale</t>
  </si>
  <si>
    <t xml:space="preserve">Residential rental</t>
  </si>
  <si>
    <t xml:space="preserve">Commercial &amp; office space</t>
  </si>
  <si>
    <t xml:space="preserve">Industrial &amp; warehousing space</t>
  </si>
  <si>
    <t xml:space="preserve">Agricultural land banking</t>
  </si>
  <si>
    <t xml:space="preserve">Title insurance</t>
  </si>
  <si>
    <t xml:space="preserve">Wildlife &amp; safari tourism</t>
  </si>
  <si>
    <t xml:space="preserve">Coastal &amp; beach tourism</t>
  </si>
  <si>
    <t xml:space="preserve">Cultural &amp; heritage tourism</t>
  </si>
  <si>
    <t xml:space="preserve">MICE tourism</t>
  </si>
  <si>
    <t xml:space="preserve">Adventure &amp; mountain tourism</t>
  </si>
  <si>
    <t xml:space="preserve">Diaspora 'come home' tourism</t>
  </si>
  <si>
    <t xml:space="preserve">Diaspora investment gateway</t>
  </si>
  <si>
    <t xml:space="preserve">General marketplace commission</t>
  </si>
  <si>
    <t xml:space="preserve">Exhibitor subscriptions</t>
  </si>
  <si>
    <t xml:space="preserve">Embedded insurance distribution</t>
  </si>
  <si>
    <t xml:space="preserve">County-pavilion trade</t>
  </si>
  <si>
    <t xml:space="preserve">Exhibition booths &amp; event tickets</t>
  </si>
  <si>
    <t xml:space="preserve">Advertising &amp; digital-screen inventory</t>
  </si>
  <si>
    <t xml:space="preserve">Livestream viewer passes</t>
  </si>
  <si>
    <t xml:space="preserve">Building/property directory listings</t>
  </si>
  <si>
    <t xml:space="preserve">Meeting room &amp; venue booking</t>
  </si>
  <si>
    <t xml:space="preserve">National government portal contracts</t>
  </si>
  <si>
    <t xml:space="preserve">Cross-border e-commerce logistics</t>
  </si>
  <si>
    <t xml:space="preserve">Freight &amp; warehousing-as-a-service</t>
  </si>
  <si>
    <t xml:space="preserve">Customs facilitation &amp; documentation</t>
  </si>
  <si>
    <t xml:space="preserve">Cold-chain logistics for perishables</t>
  </si>
  <si>
    <t xml:space="preserve">Escrow commission (base rate)</t>
  </si>
  <si>
    <t xml:space="preserve">Escrow float / treasury yield</t>
  </si>
  <si>
    <t xml:space="preserve">Credit-Data-as-a-Service</t>
  </si>
  <si>
    <t xml:space="preserve">Loan referral marketplace</t>
  </si>
  <si>
    <t xml:space="preserve">Direct lending (licence-gated)</t>
  </si>
  <si>
    <t xml:space="preserve">Input financing</t>
  </si>
  <si>
    <t xml:space="preserve">KYB-as-a-service / verification API</t>
  </si>
  <si>
    <t xml:space="preserve">County government subscriptions</t>
  </si>
  <si>
    <t xml:space="preserve">County own-source revenue collection</t>
  </si>
  <si>
    <t xml:space="preserve">Procurement rail facilitation</t>
  </si>
  <si>
    <t xml:space="preserve">Education &amp; skills certification</t>
  </si>
  <si>
    <t xml:space="preserve">Healthtech directory &amp; booking</t>
  </si>
  <si>
    <t xml:space="preserve">Telemedicine referral</t>
  </si>
  <si>
    <t xml:space="preserve">Creative industries ticketing/rights</t>
  </si>
  <si>
    <t xml:space="preserve">Sports facility booking &amp; tourism</t>
  </si>
  <si>
    <t xml:space="preserve">ICT &amp; BPO facilitation</t>
  </si>
  <si>
    <t xml:space="preserve">Waste management &amp; recycling</t>
  </si>
  <si>
    <t xml:space="preserve">Professional services marketplace</t>
  </si>
  <si>
    <t xml:space="preserve">Universal rental &amp; lease placement</t>
  </si>
  <si>
    <t xml:space="preserve">Airbnb/short-let + experience cross-sell</t>
  </si>
  <si>
    <t xml:space="preserve">Villas &amp; mansionettes premium rental</t>
  </si>
  <si>
    <t xml:space="preserve">Universal multi-agency rating engine</t>
  </si>
  <si>
    <t xml:space="preserve">Commercial space connection facilitation</t>
  </si>
  <si>
    <t xml:space="preserve">Hotel-partner bundled conference/leisure</t>
  </si>
  <si>
    <t xml:space="preserve">Airline &amp; travel-partner MOU network</t>
  </si>
  <si>
    <t xml:space="preserve">Flagship venue &amp; stadium booking</t>
  </si>
  <si>
    <t xml:space="preserve">Universal site &amp; attraction ticketing</t>
  </si>
  <si>
    <t xml:space="preserve">Equity &amp; investment facilitation</t>
  </si>
  <si>
    <t xml:space="preserve">Multi-zone SEZ marketplace</t>
  </si>
  <si>
    <t xml:space="preserve">Bulk trade brokerage</t>
  </si>
  <si>
    <t xml:space="preserve">TOTAL — all 87 pipelines (KSh/yr)</t>
  </si>
  <si>
    <t xml:space="preserve">5-Yr CAGR</t>
  </si>
  <si>
    <t xml:space="preserve">TOTAL</t>
  </si>
  <si>
    <t xml:space="preserve">Advertising &amp; Media Cost by Category — Screentime vs. Airtime</t>
  </si>
  <si>
    <t xml:space="preserve">Marketing cost = category revenue (Category Summary) x Assumptions!marketing-to-revenue ratio for that year, split by the channel-mix % on the Assumptions sheet.</t>
  </si>
  <si>
    <t xml:space="preserve">Y1 Marketing</t>
  </si>
  <si>
    <t xml:space="preserve">Y1 Screentime</t>
  </si>
  <si>
    <t xml:space="preserve">Y1 Airtime</t>
  </si>
  <si>
    <t xml:space="preserve">Y2 Marketing</t>
  </si>
  <si>
    <t xml:space="preserve">Y2 Screentime</t>
  </si>
  <si>
    <t xml:space="preserve">Y2 Airtime</t>
  </si>
  <si>
    <t xml:space="preserve">Y3 Marketing</t>
  </si>
  <si>
    <t xml:space="preserve">Y3 Screentime</t>
  </si>
  <si>
    <t xml:space="preserve">Y3 Airtime</t>
  </si>
  <si>
    <t xml:space="preserve">Y4 Marketing</t>
  </si>
  <si>
    <t xml:space="preserve">Y4 Screentime</t>
  </si>
  <si>
    <t xml:space="preserve">Y4 Airtime</t>
  </si>
  <si>
    <t xml:space="preserve">Y5 Marketing</t>
  </si>
  <si>
    <t xml:space="preserve">Y5 Screentime</t>
  </si>
  <si>
    <t xml:space="preserve">Y5 Airtime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</si>
</sst>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KSh &quot;#,##0;&quot;(KSh &quot;#,##0\);\-"/>
    <numFmt numFmtId="166" formatCode="\$#,##0"/>
    <numFmt numFmtId="167" formatCode="0%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8064A2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7D5FA0"/>
      <rgbColor rgb="FF9BBB59"/>
      <rgbColor rgb="FF1F3864"/>
      <rgbColor rgb="FF46AAC4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After Advertising, Year 1-5 (KSh)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Summary'!$B$4:$F$4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Summary'!$B$9</c:f>
              <c:numCache>
                <c:formatCode>"KSh "#,##0;"(KSh "#,##0\);\-</c:formatCode>
                <c:ptCount val="1"/>
                <c:pt idx="0">
                  <c:v>207045000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Summary'!$B$4:$F$4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Summary'!$C$9</c:f>
              <c:numCache>
                <c:formatCode>"KSh "#,##0;"(KSh "#,##0\);\-</c:formatCode>
                <c:ptCount val="1"/>
                <c:pt idx="0">
                  <c:v>873090000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Summary'!$B$4:$F$4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Summary'!$D$9</c:f>
              <c:numCache>
                <c:formatCode>"KSh "#,##0;"(KSh "#,##0\);\-</c:formatCode>
                <c:ptCount val="1"/>
                <c:pt idx="0">
                  <c:v>2005526250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Summary'!$B$4:$F$4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Summary'!$E$9</c:f>
              <c:numCache>
                <c:formatCode>"KSh "#,##0;"(KSh "#,##0\);\-</c:formatCode>
                <c:ptCount val="1"/>
                <c:pt idx="0">
                  <c:v>3359439000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Summary'!$B$4:$F$4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Summary'!$F$9</c:f>
              <c:numCache>
                <c:formatCode>"KSh "#,##0;"(KSh "#,##0\);\-</c:formatCode>
                <c:ptCount val="1"/>
                <c:pt idx="0">
                  <c:v>4493458500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984759"/>
        <c:axId val="97621649"/>
      </c:lineChart>
      <c:catAx>
        <c:axId val="9698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21649"/>
        <c:crosses val="autoZero"/>
        <c:auto val="1"/>
        <c:lblAlgn val="ctr"/>
        <c:lblOffset val="100"/>
        <c:noMultiLvlLbl val="0"/>
      </c:catAx>
      <c:valAx>
        <c:axId val="97621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KSh &quot;#,##0;&quot;(KSh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84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Category, Year 1-5 (KSh)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Year 1 (KSh)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Summary'!$A$2:$A$14</c:f>
              <c:strCache>
                <c:ptCount val="13"/>
                <c:pt idx="0">
                  <c:v>A. Agriculture</c:v>
                </c:pt>
                <c:pt idx="1">
                  <c:v>B. Minerals</c:v>
                </c:pt>
                <c:pt idx="2">
                  <c:v>C. Industrial &amp; SEZ</c:v>
                </c:pt>
                <c:pt idx="3">
                  <c:v>D. Energy &amp; Infra</c:v>
                </c:pt>
                <c:pt idx="4">
                  <c:v>E. Real Estate</c:v>
                </c:pt>
                <c:pt idx="5">
                  <c:v>F. Tourism</c:v>
                </c:pt>
                <c:pt idx="6">
                  <c:v>G. Commerce &amp; Discovery</c:v>
                </c:pt>
                <c:pt idx="7">
                  <c:v>H. Logistics</c:v>
                </c:pt>
                <c:pt idx="8">
                  <c:v>I. Financial Services</c:v>
                </c:pt>
                <c:pt idx="9">
                  <c:v>J. Government</c:v>
                </c:pt>
                <c:pt idx="10">
                  <c:v>K. Additional Sectors</c:v>
                </c:pt>
                <c:pt idx="11">
                  <c:v>L. RE Rental Expansion</c:v>
                </c:pt>
                <c:pt idx="12">
                  <c:v>M. Flagship &amp; Investment</c:v>
                </c:pt>
              </c:strCache>
            </c:strRef>
          </c:cat>
          <c:val>
            <c:numRef>
              <c:f>'Category Summary'!$B$2:$B$14</c:f>
              <c:numCache>
                <c:formatCode>"KSh "#,##0;"(KSh "#,##0\);\-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49500000</c:v>
                </c:pt>
                <c:pt idx="5">
                  <c:v>78750000</c:v>
                </c:pt>
                <c:pt idx="6">
                  <c:v>109125000</c:v>
                </c:pt>
                <c:pt idx="7">
                  <c:v>0</c:v>
                </c:pt>
                <c:pt idx="8">
                  <c:v>0</c:v>
                </c:pt>
                <c:pt idx="9">
                  <c:v>3375000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'Category Summary'!C1</c:f>
              <c:strCache>
                <c:ptCount val="1"/>
                <c:pt idx="0">
                  <c:v>Year 2 (KSh)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Summary'!$A$2:$A$14</c:f>
              <c:strCache>
                <c:ptCount val="13"/>
                <c:pt idx="0">
                  <c:v>A. Agriculture</c:v>
                </c:pt>
                <c:pt idx="1">
                  <c:v>B. Minerals</c:v>
                </c:pt>
                <c:pt idx="2">
                  <c:v>C. Industrial &amp; SEZ</c:v>
                </c:pt>
                <c:pt idx="3">
                  <c:v>D. Energy &amp; Infra</c:v>
                </c:pt>
                <c:pt idx="4">
                  <c:v>E. Real Estate</c:v>
                </c:pt>
                <c:pt idx="5">
                  <c:v>F. Tourism</c:v>
                </c:pt>
                <c:pt idx="6">
                  <c:v>G. Commerce &amp; Discovery</c:v>
                </c:pt>
                <c:pt idx="7">
                  <c:v>H. Logistics</c:v>
                </c:pt>
                <c:pt idx="8">
                  <c:v>I. Financial Services</c:v>
                </c:pt>
                <c:pt idx="9">
                  <c:v>J. Government</c:v>
                </c:pt>
                <c:pt idx="10">
                  <c:v>K. Additional Sectors</c:v>
                </c:pt>
                <c:pt idx="11">
                  <c:v>L. RE Rental Expansion</c:v>
                </c:pt>
                <c:pt idx="12">
                  <c:v>M. Flagship &amp; Investment</c:v>
                </c:pt>
              </c:strCache>
            </c:strRef>
          </c:cat>
          <c:val>
            <c:numRef>
              <c:f>'Category Summary'!$C$2:$C$14</c:f>
              <c:numCache>
                <c:formatCode>"KSh "#,##0;"(KSh "#,##0\);\-</c:formatCode>
                <c:ptCount val="13"/>
                <c:pt idx="0">
                  <c:v>121500000</c:v>
                </c:pt>
                <c:pt idx="1">
                  <c:v>0</c:v>
                </c:pt>
                <c:pt idx="2">
                  <c:v>5625000</c:v>
                </c:pt>
                <c:pt idx="3">
                  <c:v>0</c:v>
                </c:pt>
                <c:pt idx="4">
                  <c:v>167625000</c:v>
                </c:pt>
                <c:pt idx="5">
                  <c:v>258750000</c:v>
                </c:pt>
                <c:pt idx="6">
                  <c:v>327375000</c:v>
                </c:pt>
                <c:pt idx="7">
                  <c:v>0</c:v>
                </c:pt>
                <c:pt idx="8">
                  <c:v>11250000</c:v>
                </c:pt>
                <c:pt idx="9">
                  <c:v>25875000</c:v>
                </c:pt>
                <c:pt idx="10">
                  <c:v>0</c:v>
                </c:pt>
                <c:pt idx="11">
                  <c:v>63000000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'Category Summary'!D1</c:f>
              <c:strCache>
                <c:ptCount val="1"/>
                <c:pt idx="0">
                  <c:v>Year 3 (KSh)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Summary'!$A$2:$A$14</c:f>
              <c:strCache>
                <c:ptCount val="13"/>
                <c:pt idx="0">
                  <c:v>A. Agriculture</c:v>
                </c:pt>
                <c:pt idx="1">
                  <c:v>B. Minerals</c:v>
                </c:pt>
                <c:pt idx="2">
                  <c:v>C. Industrial &amp; SEZ</c:v>
                </c:pt>
                <c:pt idx="3">
                  <c:v>D. Energy &amp; Infra</c:v>
                </c:pt>
                <c:pt idx="4">
                  <c:v>E. Real Estate</c:v>
                </c:pt>
                <c:pt idx="5">
                  <c:v>F. Tourism</c:v>
                </c:pt>
                <c:pt idx="6">
                  <c:v>G. Commerce &amp; Discovery</c:v>
                </c:pt>
                <c:pt idx="7">
                  <c:v>H. Logistics</c:v>
                </c:pt>
                <c:pt idx="8">
                  <c:v>I. Financial Services</c:v>
                </c:pt>
                <c:pt idx="9">
                  <c:v>J. Government</c:v>
                </c:pt>
                <c:pt idx="10">
                  <c:v>K. Additional Sectors</c:v>
                </c:pt>
                <c:pt idx="11">
                  <c:v>L. RE Rental Expansion</c:v>
                </c:pt>
                <c:pt idx="12">
                  <c:v>M. Flagship &amp; Investment</c:v>
                </c:pt>
              </c:strCache>
            </c:strRef>
          </c:cat>
          <c:val>
            <c:numRef>
              <c:f>'Category Summary'!$D$2:$D$14</c:f>
              <c:numCache>
                <c:formatCode>"KSh "#,##0;"(KSh "#,##0\);\-</c:formatCode>
                <c:ptCount val="13"/>
                <c:pt idx="0">
                  <c:v>427500000</c:v>
                </c:pt>
                <c:pt idx="1">
                  <c:v>61875000</c:v>
                </c:pt>
                <c:pt idx="2">
                  <c:v>38250000</c:v>
                </c:pt>
                <c:pt idx="3">
                  <c:v>0</c:v>
                </c:pt>
                <c:pt idx="4">
                  <c:v>304875000</c:v>
                </c:pt>
                <c:pt idx="5">
                  <c:v>478125000</c:v>
                </c:pt>
                <c:pt idx="6">
                  <c:v>558000000</c:v>
                </c:pt>
                <c:pt idx="7">
                  <c:v>32625000</c:v>
                </c:pt>
                <c:pt idx="8">
                  <c:v>33750000</c:v>
                </c:pt>
                <c:pt idx="9">
                  <c:v>64125000</c:v>
                </c:pt>
                <c:pt idx="10">
                  <c:v>15750000</c:v>
                </c:pt>
                <c:pt idx="11">
                  <c:v>189000000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'Category Summary'!E1</c:f>
              <c:strCache>
                <c:ptCount val="1"/>
                <c:pt idx="0">
                  <c:v>Year 4 (KSh)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Summary'!$A$2:$A$14</c:f>
              <c:strCache>
                <c:ptCount val="13"/>
                <c:pt idx="0">
                  <c:v>A. Agriculture</c:v>
                </c:pt>
                <c:pt idx="1">
                  <c:v>B. Minerals</c:v>
                </c:pt>
                <c:pt idx="2">
                  <c:v>C. Industrial &amp; SEZ</c:v>
                </c:pt>
                <c:pt idx="3">
                  <c:v>D. Energy &amp; Infra</c:v>
                </c:pt>
                <c:pt idx="4">
                  <c:v>E. Real Estate</c:v>
                </c:pt>
                <c:pt idx="5">
                  <c:v>F. Tourism</c:v>
                </c:pt>
                <c:pt idx="6">
                  <c:v>G. Commerce &amp; Discovery</c:v>
                </c:pt>
                <c:pt idx="7">
                  <c:v>H. Logistics</c:v>
                </c:pt>
                <c:pt idx="8">
                  <c:v>I. Financial Services</c:v>
                </c:pt>
                <c:pt idx="9">
                  <c:v>J. Government</c:v>
                </c:pt>
                <c:pt idx="10">
                  <c:v>K. Additional Sectors</c:v>
                </c:pt>
                <c:pt idx="11">
                  <c:v>L. RE Rental Expansion</c:v>
                </c:pt>
                <c:pt idx="12">
                  <c:v>M. Flagship &amp; Investment</c:v>
                </c:pt>
              </c:strCache>
            </c:strRef>
          </c:cat>
          <c:val>
            <c:numRef>
              <c:f>'Category Summary'!$E$2:$E$14</c:f>
              <c:numCache>
                <c:formatCode>"KSh "#,##0;"(KSh "#,##0\);\-</c:formatCode>
                <c:ptCount val="13"/>
                <c:pt idx="0">
                  <c:v>832500000</c:v>
                </c:pt>
                <c:pt idx="1">
                  <c:v>187425000</c:v>
                </c:pt>
                <c:pt idx="2">
                  <c:v>96750000</c:v>
                </c:pt>
                <c:pt idx="3">
                  <c:v>16875000</c:v>
                </c:pt>
                <c:pt idx="4">
                  <c:v>409125000</c:v>
                </c:pt>
                <c:pt idx="5">
                  <c:v>661875000</c:v>
                </c:pt>
                <c:pt idx="6">
                  <c:v>728250000</c:v>
                </c:pt>
                <c:pt idx="7">
                  <c:v>97875000</c:v>
                </c:pt>
                <c:pt idx="8">
                  <c:v>83250000</c:v>
                </c:pt>
                <c:pt idx="9">
                  <c:v>100125000</c:v>
                </c:pt>
                <c:pt idx="10">
                  <c:v>63000000</c:v>
                </c:pt>
                <c:pt idx="11">
                  <c:v>315000000</c:v>
                </c:pt>
                <c:pt idx="12">
                  <c:v>20250000</c:v>
                </c:pt>
              </c:numCache>
            </c:numRef>
          </c:val>
        </c:ser>
        <c:ser>
          <c:idx val="4"/>
          <c:order val="4"/>
          <c:tx>
            <c:strRef>
              <c:f>'Category Summary'!F1</c:f>
              <c:strCache>
                <c:ptCount val="1"/>
                <c:pt idx="0">
                  <c:v>Year 5 (KSh)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Summary'!$A$2:$A$14</c:f>
              <c:strCache>
                <c:ptCount val="13"/>
                <c:pt idx="0">
                  <c:v>A. Agriculture</c:v>
                </c:pt>
                <c:pt idx="1">
                  <c:v>B. Minerals</c:v>
                </c:pt>
                <c:pt idx="2">
                  <c:v>C. Industrial &amp; SEZ</c:v>
                </c:pt>
                <c:pt idx="3">
                  <c:v>D. Energy &amp; Infra</c:v>
                </c:pt>
                <c:pt idx="4">
                  <c:v>E. Real Estate</c:v>
                </c:pt>
                <c:pt idx="5">
                  <c:v>F. Tourism</c:v>
                </c:pt>
                <c:pt idx="6">
                  <c:v>G. Commerce &amp; Discovery</c:v>
                </c:pt>
                <c:pt idx="7">
                  <c:v>H. Logistics</c:v>
                </c:pt>
                <c:pt idx="8">
                  <c:v>I. Financial Services</c:v>
                </c:pt>
                <c:pt idx="9">
                  <c:v>J. Government</c:v>
                </c:pt>
                <c:pt idx="10">
                  <c:v>K. Additional Sectors</c:v>
                </c:pt>
                <c:pt idx="11">
                  <c:v>L. RE Rental Expansion</c:v>
                </c:pt>
                <c:pt idx="12">
                  <c:v>M. Flagship &amp; Investment</c:v>
                </c:pt>
              </c:strCache>
            </c:strRef>
          </c:cat>
          <c:val>
            <c:numRef>
              <c:f>'Category Summary'!$F$2:$F$14</c:f>
              <c:numCache>
                <c:formatCode>"KSh "#,##0;"(KSh "#,##0\);\-</c:formatCode>
                <c:ptCount val="13"/>
                <c:pt idx="0">
                  <c:v>1192500000</c:v>
                </c:pt>
                <c:pt idx="1">
                  <c:v>314775000</c:v>
                </c:pt>
                <c:pt idx="2">
                  <c:v>156000000</c:v>
                </c:pt>
                <c:pt idx="3">
                  <c:v>52875000</c:v>
                </c:pt>
                <c:pt idx="4">
                  <c:v>451125000</c:v>
                </c:pt>
                <c:pt idx="5">
                  <c:v>751875000</c:v>
                </c:pt>
                <c:pt idx="6">
                  <c:v>789375000</c:v>
                </c:pt>
                <c:pt idx="7">
                  <c:v>163125000</c:v>
                </c:pt>
                <c:pt idx="8">
                  <c:v>165750000</c:v>
                </c:pt>
                <c:pt idx="9">
                  <c:v>122250000</c:v>
                </c:pt>
                <c:pt idx="10">
                  <c:v>126000000</c:v>
                </c:pt>
                <c:pt idx="11">
                  <c:v>399000000</c:v>
                </c:pt>
                <c:pt idx="12">
                  <c:v>95625000</c:v>
                </c:pt>
              </c:numCache>
            </c:numRef>
          </c:val>
        </c:ser>
        <c:gapWidth val="150"/>
        <c:overlap val="100"/>
        <c:axId val="54978526"/>
        <c:axId val="41723059"/>
      </c:barChart>
      <c:catAx>
        <c:axId val="54978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23059"/>
        <c:crosses val="autoZero"/>
        <c:auto val="1"/>
        <c:lblAlgn val="ctr"/>
        <c:lblOffset val="100"/>
        <c:noMultiLvlLbl val="0"/>
      </c:catAx>
      <c:valAx>
        <c:axId val="41723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KSh &quot;#,##0;&quot;(KSh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78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145440</xdr:rowOff>
    </xdr:from>
    <xdr:to>
      <xdr:col>4</xdr:col>
      <xdr:colOff>276840</xdr:colOff>
      <xdr:row>40</xdr:row>
      <xdr:rowOff>146520</xdr:rowOff>
    </xdr:to>
    <xdr:graphicFrame>
      <xdr:nvGraphicFramePr>
        <xdr:cNvPr id="0" name="Chart 1"/>
        <xdr:cNvGraphicFramePr/>
      </xdr:nvGraphicFramePr>
      <xdr:xfrm>
        <a:off x="0" y="4572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1011960</xdr:colOff>
      <xdr:row>35</xdr:row>
      <xdr:rowOff>170640</xdr:rowOff>
    </xdr:to>
    <xdr:graphicFrame>
      <xdr:nvGraphicFramePr>
        <xdr:cNvPr id="1" name="Chart 1"/>
        <xdr:cNvGraphicFramePr/>
      </xdr:nvGraphicFramePr>
      <xdr:xfrm>
        <a:off x="0" y="323856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8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/>
      <c r="H4" s="3"/>
    </row>
    <row r="5" customFormat="false" ht="15" hidden="false" customHeight="false" outlineLevel="0" collapsed="false">
      <c r="A5" s="5" t="s">
        <v>8</v>
      </c>
      <c r="B5" s="6" t="n">
        <f aca="false">'Pipeline Model'!F90</f>
        <v>240750000</v>
      </c>
      <c r="C5" s="6" t="n">
        <f aca="false">'Pipeline Model'!G90</f>
        <v>981000000</v>
      </c>
      <c r="D5" s="6" t="n">
        <f aca="false">'Pipeline Model'!H90</f>
        <v>2203875000</v>
      </c>
      <c r="E5" s="6" t="n">
        <f aca="false">'Pipeline Model'!I90</f>
        <v>3612300000</v>
      </c>
      <c r="F5" s="6" t="n">
        <f aca="false">'Pipeline Model'!J90</f>
        <v>4780275000</v>
      </c>
      <c r="G5" s="3"/>
      <c r="H5" s="3"/>
    </row>
    <row r="6" customFormat="false" ht="15" hidden="false" customHeight="false" outlineLevel="0" collapsed="false">
      <c r="A6" s="3" t="s">
        <v>9</v>
      </c>
      <c r="B6" s="6" t="n">
        <f aca="false">-'Advertising &amp; Media Cost'!D18</f>
        <v>-33705000</v>
      </c>
      <c r="C6" s="6" t="n">
        <f aca="false">-'Advertising &amp; Media Cost'!G18</f>
        <v>-107910000</v>
      </c>
      <c r="D6" s="6" t="n">
        <f aca="false">-'Advertising &amp; Media Cost'!J18</f>
        <v>-198348750</v>
      </c>
      <c r="E6" s="6" t="n">
        <f aca="false">-'Advertising &amp; Media Cost'!M18</f>
        <v>-252861000</v>
      </c>
      <c r="F6" s="6" t="n">
        <f aca="false">-'Advertising &amp; Media Cost'!P18</f>
        <v>-286816500</v>
      </c>
      <c r="G6" s="3"/>
      <c r="H6" s="3"/>
    </row>
    <row r="7" customFormat="false" ht="15" hidden="false" customHeight="false" outlineLevel="0" collapsed="false">
      <c r="A7" s="7" t="s">
        <v>10</v>
      </c>
      <c r="B7" s="8" t="n">
        <f aca="false">'Advertising &amp; Media Cost'!E18</f>
        <v>23215500</v>
      </c>
      <c r="C7" s="8" t="n">
        <f aca="false">'Advertising &amp; Media Cost'!H18</f>
        <v>68631750</v>
      </c>
      <c r="D7" s="8" t="n">
        <f aca="false">'Advertising &amp; Media Cost'!K18</f>
        <v>117885375</v>
      </c>
      <c r="E7" s="8" t="n">
        <f aca="false">'Advertising &amp; Media Cost'!N18</f>
        <v>143311087.5</v>
      </c>
      <c r="F7" s="8" t="n">
        <f aca="false">'Advertising &amp; Media Cost'!Q18</f>
        <v>157643100</v>
      </c>
      <c r="G7" s="3"/>
      <c r="H7" s="3"/>
    </row>
    <row r="8" customFormat="false" ht="15" hidden="false" customHeight="false" outlineLevel="0" collapsed="false">
      <c r="A8" s="7" t="s">
        <v>11</v>
      </c>
      <c r="B8" s="8" t="n">
        <f aca="false">'Advertising &amp; Media Cost'!F18</f>
        <v>10489500</v>
      </c>
      <c r="C8" s="8" t="n">
        <f aca="false">'Advertising &amp; Media Cost'!I18</f>
        <v>39278250</v>
      </c>
      <c r="D8" s="8" t="n">
        <f aca="false">'Advertising &amp; Media Cost'!L18</f>
        <v>80463375</v>
      </c>
      <c r="E8" s="8" t="n">
        <f aca="false">'Advertising &amp; Media Cost'!O18</f>
        <v>109549912.5</v>
      </c>
      <c r="F8" s="8" t="n">
        <f aca="false">'Advertising &amp; Media Cost'!R18</f>
        <v>129173400</v>
      </c>
      <c r="G8" s="3"/>
      <c r="H8" s="3"/>
    </row>
    <row r="9" customFormat="false" ht="15" hidden="false" customHeight="false" outlineLevel="0" collapsed="false">
      <c r="A9" s="5" t="s">
        <v>12</v>
      </c>
      <c r="B9" s="9" t="n">
        <f aca="false">B5+B6</f>
        <v>207045000</v>
      </c>
      <c r="C9" s="9" t="n">
        <f aca="false">C5+C6</f>
        <v>873090000</v>
      </c>
      <c r="D9" s="9" t="n">
        <f aca="false">D5+D6</f>
        <v>2005526250</v>
      </c>
      <c r="E9" s="9" t="n">
        <f aca="false">E5+E6</f>
        <v>3359439000</v>
      </c>
      <c r="F9" s="9" t="n">
        <f aca="false">F5+F6</f>
        <v>4493458500</v>
      </c>
      <c r="G9" s="3"/>
      <c r="H9" s="3"/>
    </row>
    <row r="10" customFormat="false" ht="15" hidden="false" customHeight="false" outlineLevel="0" collapsed="false">
      <c r="A10" s="3" t="s">
        <v>13</v>
      </c>
      <c r="B10" s="10" t="n">
        <f aca="false">B9/Assumptions!$C$3</f>
        <v>1605000</v>
      </c>
      <c r="C10" s="10" t="n">
        <f aca="false">C9/Assumptions!$C$3</f>
        <v>6768139.53488372</v>
      </c>
      <c r="D10" s="10" t="n">
        <f aca="false">D9/Assumptions!$C$3</f>
        <v>15546715.1162791</v>
      </c>
      <c r="E10" s="10" t="n">
        <f aca="false">E9/Assumptions!$C$3</f>
        <v>26042162.7906977</v>
      </c>
      <c r="F10" s="10" t="n">
        <f aca="false">F9/Assumptions!$C$3</f>
        <v>34833011.627907</v>
      </c>
      <c r="G10" s="3"/>
      <c r="H10" s="3"/>
    </row>
    <row r="11" customFormat="false" ht="15" hidden="false" customHeight="false" outlineLevel="0" collapsed="false">
      <c r="A11" s="3" t="s">
        <v>14</v>
      </c>
      <c r="B11" s="10" t="n">
        <f aca="false">B10/12</f>
        <v>133750</v>
      </c>
      <c r="C11" s="10" t="n">
        <f aca="false">C10/12</f>
        <v>564011.627906977</v>
      </c>
      <c r="D11" s="10" t="n">
        <f aca="false">D10/12</f>
        <v>1295559.59302326</v>
      </c>
      <c r="E11" s="10" t="n">
        <f aca="false">E10/12</f>
        <v>2170180.23255814</v>
      </c>
      <c r="F11" s="10" t="n">
        <f aca="false">F10/12</f>
        <v>2902750.96899225</v>
      </c>
      <c r="G11" s="3"/>
      <c r="H11" s="3"/>
    </row>
    <row r="12" customFormat="false" ht="15" hidden="false" customHeight="false" outlineLevel="0" collapsed="false">
      <c r="A12" s="3" t="s">
        <v>15</v>
      </c>
      <c r="B12" s="11" t="n">
        <v>12000000</v>
      </c>
      <c r="C12" s="11" t="n">
        <v>12000000</v>
      </c>
      <c r="D12" s="11" t="n">
        <v>12000000</v>
      </c>
      <c r="E12" s="11" t="n">
        <v>12000000</v>
      </c>
      <c r="F12" s="11" t="n">
        <v>12000000</v>
      </c>
      <c r="G12" s="3"/>
      <c r="H12" s="3"/>
    </row>
    <row r="13" customFormat="false" ht="15" hidden="false" customHeight="false" outlineLevel="0" collapsed="false">
      <c r="A13" s="3" t="s">
        <v>16</v>
      </c>
      <c r="B13" s="10" t="n">
        <f aca="false">B11-B12</f>
        <v>-11866250</v>
      </c>
      <c r="C13" s="10" t="n">
        <f aca="false">C11-C12</f>
        <v>-11435988.372093</v>
      </c>
      <c r="D13" s="10" t="n">
        <f aca="false">D11-D12</f>
        <v>-10704440.4069767</v>
      </c>
      <c r="E13" s="10" t="n">
        <f aca="false">E11-E12</f>
        <v>-9829819.76744186</v>
      </c>
      <c r="F13" s="10" t="n">
        <f aca="false">F11-F12</f>
        <v>-9097249.03100775</v>
      </c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5" t="s">
        <v>17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12" t="s">
        <v>18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 t="s">
        <v>19</v>
      </c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 t="s">
        <v>20</v>
      </c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 t="s">
        <v>21</v>
      </c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2" t="s">
        <v>22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 t="s">
        <v>23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 t="s">
        <v>24</v>
      </c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 t="s">
        <v>25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</sheetData>
  <mergeCells count="10">
    <mergeCell ref="A1:H1"/>
    <mergeCell ref="A2:H2"/>
    <mergeCell ref="A16:H16"/>
    <mergeCell ref="A17:H17"/>
    <mergeCell ref="A18:H18"/>
    <mergeCell ref="A19:H19"/>
    <mergeCell ref="A20:H20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3" t="s">
        <v>26</v>
      </c>
      <c r="B1" s="13"/>
      <c r="C1" s="13"/>
      <c r="D1" s="13"/>
      <c r="E1" s="13"/>
      <c r="F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5" hidden="false" customHeight="false" outlineLevel="0" collapsed="false">
      <c r="A3" s="3"/>
      <c r="B3" s="3" t="s">
        <v>27</v>
      </c>
      <c r="C3" s="14" t="n">
        <v>129</v>
      </c>
      <c r="D3" s="3" t="s">
        <v>28</v>
      </c>
      <c r="E3" s="3"/>
      <c r="F3" s="3"/>
    </row>
    <row r="4" customFormat="false" ht="15" hidden="false" customHeight="false" outlineLevel="0" collapsed="false">
      <c r="A4" s="3"/>
      <c r="B4" s="3" t="s">
        <v>29</v>
      </c>
      <c r="C4" s="14" t="n">
        <v>1.5</v>
      </c>
      <c r="D4" s="3" t="s">
        <v>30</v>
      </c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15" t="s">
        <v>31</v>
      </c>
      <c r="C6" s="15"/>
      <c r="D6" s="15"/>
      <c r="E6" s="15"/>
      <c r="F6" s="3"/>
    </row>
    <row r="7" customFormat="false" ht="15" hidden="false" customHeight="false" outlineLevel="0" collapsed="false">
      <c r="A7" s="3"/>
      <c r="B7" s="5" t="s">
        <v>32</v>
      </c>
      <c r="C7" s="5" t="s">
        <v>33</v>
      </c>
      <c r="D7" s="3"/>
      <c r="E7" s="3"/>
      <c r="F7" s="3"/>
    </row>
    <row r="8" customFormat="false" ht="15" hidden="false" customHeight="false" outlineLevel="0" collapsed="false">
      <c r="A8" s="3"/>
      <c r="B8" s="3" t="n">
        <v>1</v>
      </c>
      <c r="C8" s="16" t="n">
        <v>0.15</v>
      </c>
      <c r="D8" s="3" t="s">
        <v>34</v>
      </c>
      <c r="E8" s="3"/>
      <c r="F8" s="3"/>
    </row>
    <row r="9" customFormat="false" ht="15" hidden="false" customHeight="false" outlineLevel="0" collapsed="false">
      <c r="A9" s="3"/>
      <c r="B9" s="3" t="n">
        <v>2</v>
      </c>
      <c r="C9" s="16" t="n">
        <v>0.45</v>
      </c>
      <c r="D9" s="3"/>
      <c r="E9" s="3"/>
      <c r="F9" s="3"/>
    </row>
    <row r="10" customFormat="false" ht="15" hidden="false" customHeight="false" outlineLevel="0" collapsed="false">
      <c r="A10" s="3"/>
      <c r="B10" s="3" t="n">
        <v>3</v>
      </c>
      <c r="C10" s="16" t="n">
        <v>0.75</v>
      </c>
      <c r="D10" s="3"/>
      <c r="E10" s="3"/>
      <c r="F10" s="3"/>
    </row>
    <row r="11" customFormat="false" ht="15" hidden="false" customHeight="false" outlineLevel="0" collapsed="false">
      <c r="A11" s="3"/>
      <c r="B11" s="3" t="n">
        <v>4</v>
      </c>
      <c r="C11" s="16" t="n">
        <v>0.95</v>
      </c>
      <c r="D11" s="3"/>
      <c r="E11" s="3"/>
      <c r="F11" s="3"/>
    </row>
    <row r="12" customFormat="false" ht="15" hidden="false" customHeight="false" outlineLevel="0" collapsed="false">
      <c r="A12" s="3"/>
      <c r="B12" s="3" t="n">
        <v>5</v>
      </c>
      <c r="C12" s="16" t="n">
        <v>1</v>
      </c>
      <c r="D12" s="3" t="s">
        <v>35</v>
      </c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15" t="s">
        <v>36</v>
      </c>
      <c r="C14" s="15"/>
      <c r="D14" s="15"/>
      <c r="E14" s="15"/>
      <c r="F14" s="3"/>
    </row>
    <row r="15" customFormat="false" ht="15" hidden="false" customHeight="false" outlineLevel="0" collapsed="false">
      <c r="A15" s="3"/>
      <c r="B15" s="5" t="s">
        <v>2</v>
      </c>
      <c r="C15" s="5" t="s">
        <v>37</v>
      </c>
      <c r="D15" s="3"/>
      <c r="E15" s="3"/>
      <c r="F15" s="3"/>
    </row>
    <row r="16" customFormat="false" ht="15" hidden="false" customHeight="false" outlineLevel="0" collapsed="false">
      <c r="A16" s="3"/>
      <c r="B16" s="3" t="s">
        <v>3</v>
      </c>
      <c r="C16" s="17" t="n">
        <v>0.14</v>
      </c>
      <c r="D16" s="3" t="s">
        <v>38</v>
      </c>
      <c r="E16" s="3"/>
      <c r="F16" s="3"/>
    </row>
    <row r="17" customFormat="false" ht="15" hidden="false" customHeight="false" outlineLevel="0" collapsed="false">
      <c r="A17" s="3"/>
      <c r="B17" s="3" t="s">
        <v>4</v>
      </c>
      <c r="C17" s="17" t="n">
        <v>0.11</v>
      </c>
      <c r="D17" s="3"/>
      <c r="E17" s="3"/>
      <c r="F17" s="3"/>
    </row>
    <row r="18" customFormat="false" ht="15" hidden="false" customHeight="false" outlineLevel="0" collapsed="false">
      <c r="A18" s="3"/>
      <c r="B18" s="3" t="s">
        <v>5</v>
      </c>
      <c r="C18" s="17" t="n">
        <v>0.09</v>
      </c>
      <c r="D18" s="3"/>
      <c r="E18" s="3"/>
      <c r="F18" s="3"/>
    </row>
    <row r="19" customFormat="false" ht="15" hidden="false" customHeight="false" outlineLevel="0" collapsed="false">
      <c r="A19" s="3"/>
      <c r="B19" s="3" t="s">
        <v>6</v>
      </c>
      <c r="C19" s="17" t="n">
        <v>0.07</v>
      </c>
      <c r="D19" s="3"/>
      <c r="E19" s="3"/>
      <c r="F19" s="3"/>
    </row>
    <row r="20" customFormat="false" ht="15" hidden="false" customHeight="false" outlineLevel="0" collapsed="false">
      <c r="A20" s="3"/>
      <c r="B20" s="3" t="s">
        <v>7</v>
      </c>
      <c r="C20" s="17" t="n">
        <v>0.06</v>
      </c>
      <c r="D20" s="3"/>
      <c r="E20" s="3"/>
      <c r="F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3"/>
      <c r="B22" s="15" t="s">
        <v>39</v>
      </c>
      <c r="C22" s="15"/>
      <c r="D22" s="15"/>
      <c r="E22" s="15"/>
      <c r="F22" s="3"/>
    </row>
    <row r="23" customFormat="false" ht="15" hidden="false" customHeight="false" outlineLevel="0" collapsed="false">
      <c r="A23" s="3"/>
      <c r="B23" s="5" t="s">
        <v>40</v>
      </c>
      <c r="C23" s="5" t="s">
        <v>41</v>
      </c>
      <c r="D23" s="5" t="s">
        <v>42</v>
      </c>
      <c r="E23" s="3"/>
      <c r="F23" s="3"/>
    </row>
    <row r="24" customFormat="false" ht="15" hidden="false" customHeight="true" outlineLevel="0" collapsed="false">
      <c r="A24" s="3"/>
      <c r="B24" s="3" t="s">
        <v>43</v>
      </c>
      <c r="C24" s="17" t="n">
        <v>0.3</v>
      </c>
      <c r="D24" s="17" t="n">
        <v>0.7</v>
      </c>
      <c r="E24" s="18" t="s">
        <v>44</v>
      </c>
      <c r="F24" s="3"/>
    </row>
    <row r="25" customFormat="false" ht="15" hidden="false" customHeight="false" outlineLevel="0" collapsed="false">
      <c r="A25" s="3"/>
      <c r="B25" s="3" t="s">
        <v>45</v>
      </c>
      <c r="C25" s="17" t="n">
        <v>0.4</v>
      </c>
      <c r="D25" s="17" t="n">
        <v>0.6</v>
      </c>
      <c r="E25" s="18"/>
      <c r="F25" s="3"/>
    </row>
    <row r="26" customFormat="false" ht="15" hidden="false" customHeight="false" outlineLevel="0" collapsed="false">
      <c r="A26" s="3"/>
      <c r="B26" s="3" t="s">
        <v>46</v>
      </c>
      <c r="C26" s="17" t="n">
        <v>0.6</v>
      </c>
      <c r="D26" s="17" t="n">
        <v>0.4</v>
      </c>
      <c r="E26" s="18"/>
      <c r="F26" s="3"/>
    </row>
    <row r="27" customFormat="false" ht="15" hidden="false" customHeight="false" outlineLevel="0" collapsed="false">
      <c r="A27" s="3"/>
      <c r="B27" s="3" t="s">
        <v>47</v>
      </c>
      <c r="C27" s="17" t="n">
        <v>0.55</v>
      </c>
      <c r="D27" s="17" t="n">
        <v>0.45</v>
      </c>
      <c r="E27" s="18"/>
      <c r="F27" s="3"/>
    </row>
    <row r="28" customFormat="false" ht="15" hidden="false" customHeight="false" outlineLevel="0" collapsed="false">
      <c r="A28" s="3"/>
      <c r="B28" s="3" t="s">
        <v>48</v>
      </c>
      <c r="C28" s="17" t="n">
        <v>0.7</v>
      </c>
      <c r="D28" s="17" t="n">
        <v>0.3</v>
      </c>
      <c r="E28" s="18"/>
      <c r="F28" s="3"/>
    </row>
    <row r="29" customFormat="false" ht="15" hidden="false" customHeight="false" outlineLevel="0" collapsed="false">
      <c r="A29" s="3"/>
      <c r="B29" s="3" t="s">
        <v>49</v>
      </c>
      <c r="C29" s="17" t="n">
        <v>0.75</v>
      </c>
      <c r="D29" s="17" t="n">
        <v>0.25</v>
      </c>
      <c r="E29" s="18"/>
      <c r="F29" s="3"/>
    </row>
    <row r="30" customFormat="false" ht="15" hidden="false" customHeight="false" outlineLevel="0" collapsed="false">
      <c r="A30" s="3"/>
      <c r="B30" s="3" t="s">
        <v>50</v>
      </c>
      <c r="C30" s="17" t="n">
        <v>0.65</v>
      </c>
      <c r="D30" s="17" t="n">
        <v>0.35</v>
      </c>
      <c r="E30" s="18"/>
      <c r="F30" s="3"/>
    </row>
    <row r="31" customFormat="false" ht="15" hidden="false" customHeight="false" outlineLevel="0" collapsed="false">
      <c r="A31" s="3"/>
      <c r="B31" s="3" t="s">
        <v>51</v>
      </c>
      <c r="C31" s="17" t="n">
        <v>0.5</v>
      </c>
      <c r="D31" s="17" t="n">
        <v>0.5</v>
      </c>
      <c r="E31" s="18"/>
      <c r="F31" s="3"/>
    </row>
    <row r="32" customFormat="false" ht="15" hidden="false" customHeight="false" outlineLevel="0" collapsed="false">
      <c r="A32" s="3"/>
      <c r="B32" s="3" t="s">
        <v>52</v>
      </c>
      <c r="C32" s="17" t="n">
        <v>0.6</v>
      </c>
      <c r="D32" s="17" t="n">
        <v>0.4</v>
      </c>
      <c r="E32" s="18"/>
      <c r="F32" s="3"/>
    </row>
    <row r="33" customFormat="false" ht="15" hidden="false" customHeight="false" outlineLevel="0" collapsed="false">
      <c r="A33" s="3"/>
      <c r="B33" s="3" t="s">
        <v>53</v>
      </c>
      <c r="C33" s="17" t="n">
        <v>0.35</v>
      </c>
      <c r="D33" s="17" t="n">
        <v>0.65</v>
      </c>
      <c r="E33" s="18"/>
      <c r="F33" s="3"/>
    </row>
    <row r="34" customFormat="false" ht="15" hidden="false" customHeight="false" outlineLevel="0" collapsed="false">
      <c r="A34" s="3"/>
      <c r="B34" s="3" t="s">
        <v>54</v>
      </c>
      <c r="C34" s="17" t="n">
        <v>0.5</v>
      </c>
      <c r="D34" s="17" t="n">
        <v>0.5</v>
      </c>
      <c r="E34" s="18"/>
      <c r="F34" s="3"/>
    </row>
    <row r="35" customFormat="false" ht="15" hidden="false" customHeight="false" outlineLevel="0" collapsed="false">
      <c r="A35" s="3"/>
      <c r="B35" s="3" t="s">
        <v>55</v>
      </c>
      <c r="C35" s="17" t="n">
        <v>0.7</v>
      </c>
      <c r="D35" s="17" t="n">
        <v>0.3</v>
      </c>
      <c r="E35" s="18"/>
      <c r="F35" s="3"/>
    </row>
    <row r="36" customFormat="false" ht="15" hidden="false" customHeight="false" outlineLevel="0" collapsed="false">
      <c r="A36" s="3"/>
      <c r="B36" s="3" t="s">
        <v>56</v>
      </c>
      <c r="C36" s="17" t="n">
        <v>0.65</v>
      </c>
      <c r="D36" s="17" t="n">
        <v>0.35</v>
      </c>
      <c r="E36" s="18"/>
      <c r="F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3"/>
      <c r="B38" s="5" t="s">
        <v>57</v>
      </c>
      <c r="C38" s="3"/>
      <c r="D38" s="3"/>
      <c r="E38" s="3"/>
      <c r="F38" s="3"/>
    </row>
    <row r="39" customFormat="false" ht="15" hidden="false" customHeight="false" outlineLevel="0" collapsed="false">
      <c r="A39" s="3"/>
      <c r="B39" s="12" t="s">
        <v>58</v>
      </c>
      <c r="C39" s="12"/>
      <c r="D39" s="12"/>
      <c r="E39" s="12"/>
      <c r="F39" s="3"/>
    </row>
    <row r="40" customFormat="false" ht="15" hidden="false" customHeight="false" outlineLevel="0" collapsed="false">
      <c r="A40" s="3"/>
      <c r="B40" s="12" t="s">
        <v>59</v>
      </c>
      <c r="C40" s="12"/>
      <c r="D40" s="12"/>
      <c r="E40" s="12"/>
      <c r="F40" s="3"/>
    </row>
    <row r="41" customFormat="false" ht="15" hidden="false" customHeight="false" outlineLevel="0" collapsed="false">
      <c r="A41" s="3"/>
      <c r="B41" s="12" t="s">
        <v>60</v>
      </c>
      <c r="C41" s="12"/>
      <c r="D41" s="12"/>
      <c r="E41" s="12"/>
      <c r="F41" s="3"/>
    </row>
    <row r="42" customFormat="false" ht="15" hidden="false" customHeight="false" outlineLevel="0" collapsed="false">
      <c r="A42" s="3"/>
      <c r="B42" s="12" t="s">
        <v>61</v>
      </c>
      <c r="C42" s="12"/>
      <c r="D42" s="12"/>
      <c r="E42" s="12"/>
      <c r="F42" s="3"/>
    </row>
    <row r="43" customFormat="false" ht="15" hidden="false" customHeight="false" outlineLevel="0" collapsed="false">
      <c r="A43" s="3"/>
      <c r="B43" s="12" t="s">
        <v>62</v>
      </c>
      <c r="C43" s="12"/>
      <c r="D43" s="12"/>
      <c r="E43" s="12"/>
      <c r="F43" s="3"/>
    </row>
    <row r="44" customFormat="false" ht="15" hidden="false" customHeight="false" outlineLevel="0" collapsed="false">
      <c r="A44" s="3"/>
      <c r="B44" s="12" t="s">
        <v>63</v>
      </c>
      <c r="C44" s="12"/>
      <c r="D44" s="12"/>
      <c r="E44" s="12"/>
      <c r="F44" s="3"/>
    </row>
    <row r="45" customFormat="false" ht="15" hidden="false" customHeight="false" outlineLevel="0" collapsed="false">
      <c r="A45" s="3"/>
      <c r="B45" s="12" t="s">
        <v>64</v>
      </c>
      <c r="C45" s="12"/>
      <c r="D45" s="12"/>
      <c r="E45" s="12"/>
      <c r="F45" s="3"/>
    </row>
    <row r="46" customFormat="false" ht="15" hidden="false" customHeight="false" outlineLevel="0" collapsed="false">
      <c r="A46" s="3"/>
      <c r="B46" s="12" t="s">
        <v>65</v>
      </c>
      <c r="C46" s="12"/>
      <c r="D46" s="12"/>
      <c r="E46" s="12"/>
      <c r="F46" s="3"/>
    </row>
    <row r="47" customFormat="false" ht="15" hidden="false" customHeight="false" outlineLevel="0" collapsed="false">
      <c r="A47" s="3"/>
      <c r="B47" s="12" t="s">
        <v>66</v>
      </c>
      <c r="C47" s="12"/>
      <c r="D47" s="12"/>
      <c r="E47" s="12"/>
      <c r="F47" s="3"/>
    </row>
    <row r="48" customFormat="false" ht="15" hidden="false" customHeight="false" outlineLevel="0" collapsed="false">
      <c r="A48" s="3"/>
      <c r="B48" s="12" t="s">
        <v>67</v>
      </c>
      <c r="C48" s="12"/>
      <c r="D48" s="12"/>
      <c r="E48" s="12"/>
      <c r="F48" s="3"/>
    </row>
    <row r="49" customFormat="false" ht="15" hidden="false" customHeight="false" outlineLevel="0" collapsed="false">
      <c r="A49" s="3"/>
      <c r="B49" s="12" t="s">
        <v>68</v>
      </c>
      <c r="C49" s="12"/>
      <c r="D49" s="12"/>
      <c r="E49" s="12"/>
      <c r="F49" s="3"/>
    </row>
    <row r="50" customFormat="false" ht="15" hidden="false" customHeight="false" outlineLevel="0" collapsed="false">
      <c r="A50" s="3"/>
      <c r="B50" s="12" t="s">
        <v>69</v>
      </c>
      <c r="C50" s="12"/>
      <c r="D50" s="12"/>
      <c r="E50" s="12"/>
      <c r="F50" s="3"/>
    </row>
    <row r="51" customFormat="false" ht="15" hidden="false" customHeight="false" outlineLevel="0" collapsed="false">
      <c r="A51" s="3"/>
      <c r="B51" s="12" t="s">
        <v>70</v>
      </c>
      <c r="C51" s="12"/>
      <c r="D51" s="12"/>
      <c r="E51" s="12"/>
      <c r="F51" s="3"/>
    </row>
    <row r="52" customFormat="false" ht="15" hidden="false" customHeight="false" outlineLevel="0" collapsed="false">
      <c r="A52" s="3"/>
      <c r="B52" s="12" t="s">
        <v>71</v>
      </c>
      <c r="C52" s="12"/>
      <c r="D52" s="12"/>
      <c r="E52" s="12"/>
      <c r="F52" s="3"/>
    </row>
    <row r="53" customFormat="false" ht="15" hidden="false" customHeight="false" outlineLevel="0" collapsed="false">
      <c r="A53" s="3"/>
      <c r="B53" s="12" t="s">
        <v>72</v>
      </c>
      <c r="C53" s="12"/>
      <c r="D53" s="12"/>
      <c r="E53" s="12"/>
      <c r="F53" s="3"/>
    </row>
    <row r="54" customFormat="false" ht="15" hidden="false" customHeight="false" outlineLevel="0" collapsed="false">
      <c r="A54" s="3"/>
      <c r="B54" s="12" t="s">
        <v>73</v>
      </c>
      <c r="C54" s="12"/>
      <c r="D54" s="12"/>
      <c r="E54" s="12"/>
      <c r="F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</row>
  </sheetData>
  <mergeCells count="21">
    <mergeCell ref="A1:E1"/>
    <mergeCell ref="B6:E6"/>
    <mergeCell ref="B14:E14"/>
    <mergeCell ref="B22:E22"/>
    <mergeCell ref="E24:E36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10" min="6" style="0" width="15"/>
  </cols>
  <sheetData>
    <row r="1" customFormat="false" ht="31.5" hidden="false" customHeight="true" outlineLevel="0" collapsed="false">
      <c r="A1" s="19" t="s">
        <v>74</v>
      </c>
      <c r="B1" s="19" t="s">
        <v>75</v>
      </c>
      <c r="C1" s="19" t="s">
        <v>40</v>
      </c>
      <c r="D1" s="19" t="s">
        <v>76</v>
      </c>
      <c r="E1" s="19" t="s">
        <v>77</v>
      </c>
      <c r="F1" s="19" t="s">
        <v>78</v>
      </c>
      <c r="G1" s="19" t="s">
        <v>79</v>
      </c>
      <c r="H1" s="19" t="s">
        <v>80</v>
      </c>
      <c r="I1" s="19" t="s">
        <v>81</v>
      </c>
      <c r="J1" s="19" t="s">
        <v>82</v>
      </c>
    </row>
    <row r="2" customFormat="false" ht="15" hidden="false" customHeight="false" outlineLevel="0" collapsed="false">
      <c r="A2" s="20" t="n">
        <v>1</v>
      </c>
      <c r="B2" s="20" t="s">
        <v>83</v>
      </c>
      <c r="C2" s="20" t="s">
        <v>43</v>
      </c>
      <c r="D2" s="21" t="n">
        <v>2</v>
      </c>
      <c r="E2" s="22" t="n">
        <v>120000000</v>
      </c>
      <c r="F2" s="23" t="n">
        <f aca="false">IF(1&lt;$D2,0,$E2*Assumptions!$C$4*INDEX(Assumptions!$C$8:$C$12,MIN(1-$D2+1,5)))</f>
        <v>0</v>
      </c>
      <c r="G2" s="23" t="n">
        <f aca="false">IF(2&lt;$D2,0,$E2*Assumptions!$C$4*INDEX(Assumptions!$C$8:$C$12,MIN(2-$D2+1,5)))</f>
        <v>27000000</v>
      </c>
      <c r="H2" s="23" t="n">
        <f aca="false">IF(3&lt;$D2,0,$E2*Assumptions!$C$4*INDEX(Assumptions!$C$8:$C$12,MIN(3-$D2+1,5)))</f>
        <v>81000000</v>
      </c>
      <c r="I2" s="23" t="n">
        <f aca="false">IF(4&lt;$D2,0,$E2*Assumptions!$C$4*INDEX(Assumptions!$C$8:$C$12,MIN(4-$D2+1,5)))</f>
        <v>135000000</v>
      </c>
      <c r="J2" s="23" t="n">
        <f aca="false">IF(5&lt;$D2,0,$E2*Assumptions!$C$4*INDEX(Assumptions!$C$8:$C$12,MIN(5-$D2+1,5)))</f>
        <v>171000000</v>
      </c>
    </row>
    <row r="3" customFormat="false" ht="15" hidden="false" customHeight="false" outlineLevel="0" collapsed="false">
      <c r="A3" s="24" t="n">
        <v>2</v>
      </c>
      <c r="B3" s="24" t="s">
        <v>84</v>
      </c>
      <c r="C3" s="24" t="s">
        <v>43</v>
      </c>
      <c r="D3" s="25" t="n">
        <v>3</v>
      </c>
      <c r="E3" s="26" t="n">
        <v>60000000</v>
      </c>
      <c r="F3" s="27" t="n">
        <f aca="false">IF(1&lt;$D3,0,$E3*Assumptions!$C$4*INDEX(Assumptions!$C$8:$C$12,MIN(1-$D3+1,5)))</f>
        <v>0</v>
      </c>
      <c r="G3" s="27" t="n">
        <f aca="false">IF(2&lt;$D3,0,$E3*Assumptions!$C$4*INDEX(Assumptions!$C$8:$C$12,MIN(2-$D3+1,5)))</f>
        <v>0</v>
      </c>
      <c r="H3" s="27" t="n">
        <f aca="false">IF(3&lt;$D3,0,$E3*Assumptions!$C$4*INDEX(Assumptions!$C$8:$C$12,MIN(3-$D3+1,5)))</f>
        <v>13500000</v>
      </c>
      <c r="I3" s="27" t="n">
        <f aca="false">IF(4&lt;$D3,0,$E3*Assumptions!$C$4*INDEX(Assumptions!$C$8:$C$12,MIN(4-$D3+1,5)))</f>
        <v>40500000</v>
      </c>
      <c r="J3" s="27" t="n">
        <f aca="false">IF(5&lt;$D3,0,$E3*Assumptions!$C$4*INDEX(Assumptions!$C$8:$C$12,MIN(5-$D3+1,5)))</f>
        <v>67500000</v>
      </c>
    </row>
    <row r="4" customFormat="false" ht="15" hidden="false" customHeight="false" outlineLevel="0" collapsed="false">
      <c r="A4" s="20" t="n">
        <v>3</v>
      </c>
      <c r="B4" s="20" t="s">
        <v>85</v>
      </c>
      <c r="C4" s="20" t="s">
        <v>43</v>
      </c>
      <c r="D4" s="21" t="n">
        <v>2</v>
      </c>
      <c r="E4" s="22" t="n">
        <v>90000000</v>
      </c>
      <c r="F4" s="23" t="n">
        <f aca="false">IF(1&lt;$D4,0,$E4*Assumptions!$C$4*INDEX(Assumptions!$C$8:$C$12,MIN(1-$D4+1,5)))</f>
        <v>0</v>
      </c>
      <c r="G4" s="23" t="n">
        <f aca="false">IF(2&lt;$D4,0,$E4*Assumptions!$C$4*INDEX(Assumptions!$C$8:$C$12,MIN(2-$D4+1,5)))</f>
        <v>20250000</v>
      </c>
      <c r="H4" s="23" t="n">
        <f aca="false">IF(3&lt;$D4,0,$E4*Assumptions!$C$4*INDEX(Assumptions!$C$8:$C$12,MIN(3-$D4+1,5)))</f>
        <v>60750000</v>
      </c>
      <c r="I4" s="23" t="n">
        <f aca="false">IF(4&lt;$D4,0,$E4*Assumptions!$C$4*INDEX(Assumptions!$C$8:$C$12,MIN(4-$D4+1,5)))</f>
        <v>101250000</v>
      </c>
      <c r="J4" s="23" t="n">
        <f aca="false">IF(5&lt;$D4,0,$E4*Assumptions!$C$4*INDEX(Assumptions!$C$8:$C$12,MIN(5-$D4+1,5)))</f>
        <v>128250000</v>
      </c>
    </row>
    <row r="5" customFormat="false" ht="15" hidden="false" customHeight="false" outlineLevel="0" collapsed="false">
      <c r="A5" s="24" t="n">
        <v>4</v>
      </c>
      <c r="B5" s="24" t="s">
        <v>86</v>
      </c>
      <c r="C5" s="24" t="s">
        <v>43</v>
      </c>
      <c r="D5" s="25" t="n">
        <v>4</v>
      </c>
      <c r="E5" s="26" t="n">
        <v>40000000</v>
      </c>
      <c r="F5" s="27" t="n">
        <f aca="false">IF(1&lt;$D5,0,$E5*Assumptions!$C$4*INDEX(Assumptions!$C$8:$C$12,MIN(1-$D5+1,5)))</f>
        <v>0</v>
      </c>
      <c r="G5" s="27" t="n">
        <f aca="false">IF(2&lt;$D5,0,$E5*Assumptions!$C$4*INDEX(Assumptions!$C$8:$C$12,MIN(2-$D5+1,5)))</f>
        <v>0</v>
      </c>
      <c r="H5" s="27" t="n">
        <f aca="false">IF(3&lt;$D5,0,$E5*Assumptions!$C$4*INDEX(Assumptions!$C$8:$C$12,MIN(3-$D5+1,5)))</f>
        <v>0</v>
      </c>
      <c r="I5" s="27" t="n">
        <f aca="false">IF(4&lt;$D5,0,$E5*Assumptions!$C$4*INDEX(Assumptions!$C$8:$C$12,MIN(4-$D5+1,5)))</f>
        <v>9000000</v>
      </c>
      <c r="J5" s="27" t="n">
        <f aca="false">IF(5&lt;$D5,0,$E5*Assumptions!$C$4*INDEX(Assumptions!$C$8:$C$12,MIN(5-$D5+1,5)))</f>
        <v>27000000</v>
      </c>
    </row>
    <row r="6" customFormat="false" ht="15" hidden="false" customHeight="false" outlineLevel="0" collapsed="false">
      <c r="A6" s="20" t="n">
        <v>5</v>
      </c>
      <c r="B6" s="20" t="s">
        <v>87</v>
      </c>
      <c r="C6" s="20" t="s">
        <v>43</v>
      </c>
      <c r="D6" s="21" t="n">
        <v>2</v>
      </c>
      <c r="E6" s="22" t="n">
        <v>150000000</v>
      </c>
      <c r="F6" s="23" t="n">
        <f aca="false">IF(1&lt;$D6,0,$E6*Assumptions!$C$4*INDEX(Assumptions!$C$8:$C$12,MIN(1-$D6+1,5)))</f>
        <v>0</v>
      </c>
      <c r="G6" s="23" t="n">
        <f aca="false">IF(2&lt;$D6,0,$E6*Assumptions!$C$4*INDEX(Assumptions!$C$8:$C$12,MIN(2-$D6+1,5)))</f>
        <v>33750000</v>
      </c>
      <c r="H6" s="23" t="n">
        <f aca="false">IF(3&lt;$D6,0,$E6*Assumptions!$C$4*INDEX(Assumptions!$C$8:$C$12,MIN(3-$D6+1,5)))</f>
        <v>101250000</v>
      </c>
      <c r="I6" s="23" t="n">
        <f aca="false">IF(4&lt;$D6,0,$E6*Assumptions!$C$4*INDEX(Assumptions!$C$8:$C$12,MIN(4-$D6+1,5)))</f>
        <v>168750000</v>
      </c>
      <c r="J6" s="23" t="n">
        <f aca="false">IF(5&lt;$D6,0,$E6*Assumptions!$C$4*INDEX(Assumptions!$C$8:$C$12,MIN(5-$D6+1,5)))</f>
        <v>213750000</v>
      </c>
    </row>
    <row r="7" customFormat="false" ht="15" hidden="false" customHeight="false" outlineLevel="0" collapsed="false">
      <c r="A7" s="24" t="n">
        <v>6</v>
      </c>
      <c r="B7" s="24" t="s">
        <v>88</v>
      </c>
      <c r="C7" s="24" t="s">
        <v>43</v>
      </c>
      <c r="D7" s="25" t="n">
        <v>2</v>
      </c>
      <c r="E7" s="26" t="n">
        <v>100000000</v>
      </c>
      <c r="F7" s="27" t="n">
        <f aca="false">IF(1&lt;$D7,0,$E7*Assumptions!$C$4*INDEX(Assumptions!$C$8:$C$12,MIN(1-$D7+1,5)))</f>
        <v>0</v>
      </c>
      <c r="G7" s="27" t="n">
        <f aca="false">IF(2&lt;$D7,0,$E7*Assumptions!$C$4*INDEX(Assumptions!$C$8:$C$12,MIN(2-$D7+1,5)))</f>
        <v>22500000</v>
      </c>
      <c r="H7" s="27" t="n">
        <f aca="false">IF(3&lt;$D7,0,$E7*Assumptions!$C$4*INDEX(Assumptions!$C$8:$C$12,MIN(3-$D7+1,5)))</f>
        <v>67500000</v>
      </c>
      <c r="I7" s="27" t="n">
        <f aca="false">IF(4&lt;$D7,0,$E7*Assumptions!$C$4*INDEX(Assumptions!$C$8:$C$12,MIN(4-$D7+1,5)))</f>
        <v>112500000</v>
      </c>
      <c r="J7" s="27" t="n">
        <f aca="false">IF(5&lt;$D7,0,$E7*Assumptions!$C$4*INDEX(Assumptions!$C$8:$C$12,MIN(5-$D7+1,5)))</f>
        <v>142500000</v>
      </c>
    </row>
    <row r="8" customFormat="false" ht="15" hidden="false" customHeight="false" outlineLevel="0" collapsed="false">
      <c r="A8" s="20" t="n">
        <v>7</v>
      </c>
      <c r="B8" s="20" t="s">
        <v>89</v>
      </c>
      <c r="C8" s="20" t="s">
        <v>43</v>
      </c>
      <c r="D8" s="21" t="n">
        <v>3</v>
      </c>
      <c r="E8" s="22" t="n">
        <v>70000000</v>
      </c>
      <c r="F8" s="23" t="n">
        <f aca="false">IF(1&lt;$D8,0,$E8*Assumptions!$C$4*INDEX(Assumptions!$C$8:$C$12,MIN(1-$D8+1,5)))</f>
        <v>0</v>
      </c>
      <c r="G8" s="23" t="n">
        <f aca="false">IF(2&lt;$D8,0,$E8*Assumptions!$C$4*INDEX(Assumptions!$C$8:$C$12,MIN(2-$D8+1,5)))</f>
        <v>0</v>
      </c>
      <c r="H8" s="23" t="n">
        <f aca="false">IF(3&lt;$D8,0,$E8*Assumptions!$C$4*INDEX(Assumptions!$C$8:$C$12,MIN(3-$D8+1,5)))</f>
        <v>15750000</v>
      </c>
      <c r="I8" s="23" t="n">
        <f aca="false">IF(4&lt;$D8,0,$E8*Assumptions!$C$4*INDEX(Assumptions!$C$8:$C$12,MIN(4-$D8+1,5)))</f>
        <v>47250000</v>
      </c>
      <c r="J8" s="23" t="n">
        <f aca="false">IF(5&lt;$D8,0,$E8*Assumptions!$C$4*INDEX(Assumptions!$C$8:$C$12,MIN(5-$D8+1,5)))</f>
        <v>78750000</v>
      </c>
    </row>
    <row r="9" customFormat="false" ht="15" hidden="false" customHeight="false" outlineLevel="0" collapsed="false">
      <c r="A9" s="24" t="n">
        <v>8</v>
      </c>
      <c r="B9" s="24" t="s">
        <v>90</v>
      </c>
      <c r="C9" s="24" t="s">
        <v>43</v>
      </c>
      <c r="D9" s="25" t="n">
        <v>3</v>
      </c>
      <c r="E9" s="26" t="n">
        <v>60000000</v>
      </c>
      <c r="F9" s="27" t="n">
        <f aca="false">IF(1&lt;$D9,0,$E9*Assumptions!$C$4*INDEX(Assumptions!$C$8:$C$12,MIN(1-$D9+1,5)))</f>
        <v>0</v>
      </c>
      <c r="G9" s="27" t="n">
        <f aca="false">IF(2&lt;$D9,0,$E9*Assumptions!$C$4*INDEX(Assumptions!$C$8:$C$12,MIN(2-$D9+1,5)))</f>
        <v>0</v>
      </c>
      <c r="H9" s="27" t="n">
        <f aca="false">IF(3&lt;$D9,0,$E9*Assumptions!$C$4*INDEX(Assumptions!$C$8:$C$12,MIN(3-$D9+1,5)))</f>
        <v>13500000</v>
      </c>
      <c r="I9" s="27" t="n">
        <f aca="false">IF(4&lt;$D9,0,$E9*Assumptions!$C$4*INDEX(Assumptions!$C$8:$C$12,MIN(4-$D9+1,5)))</f>
        <v>40500000</v>
      </c>
      <c r="J9" s="27" t="n">
        <f aca="false">IF(5&lt;$D9,0,$E9*Assumptions!$C$4*INDEX(Assumptions!$C$8:$C$12,MIN(5-$D9+1,5)))</f>
        <v>67500000</v>
      </c>
    </row>
    <row r="10" customFormat="false" ht="15" hidden="false" customHeight="false" outlineLevel="0" collapsed="false">
      <c r="A10" s="20" t="n">
        <v>9</v>
      </c>
      <c r="B10" s="20" t="s">
        <v>91</v>
      </c>
      <c r="C10" s="20" t="s">
        <v>43</v>
      </c>
      <c r="D10" s="21" t="n">
        <v>2</v>
      </c>
      <c r="E10" s="22" t="n">
        <v>80000000</v>
      </c>
      <c r="F10" s="23" t="n">
        <f aca="false">IF(1&lt;$D10,0,$E10*Assumptions!$C$4*INDEX(Assumptions!$C$8:$C$12,MIN(1-$D10+1,5)))</f>
        <v>0</v>
      </c>
      <c r="G10" s="23" t="n">
        <f aca="false">IF(2&lt;$D10,0,$E10*Assumptions!$C$4*INDEX(Assumptions!$C$8:$C$12,MIN(2-$D10+1,5)))</f>
        <v>18000000</v>
      </c>
      <c r="H10" s="23" t="n">
        <f aca="false">IF(3&lt;$D10,0,$E10*Assumptions!$C$4*INDEX(Assumptions!$C$8:$C$12,MIN(3-$D10+1,5)))</f>
        <v>54000000</v>
      </c>
      <c r="I10" s="23" t="n">
        <f aca="false">IF(4&lt;$D10,0,$E10*Assumptions!$C$4*INDEX(Assumptions!$C$8:$C$12,MIN(4-$D10+1,5)))</f>
        <v>90000000</v>
      </c>
      <c r="J10" s="23" t="n">
        <f aca="false">IF(5&lt;$D10,0,$E10*Assumptions!$C$4*INDEX(Assumptions!$C$8:$C$12,MIN(5-$D10+1,5)))</f>
        <v>114000000</v>
      </c>
    </row>
    <row r="11" customFormat="false" ht="15" hidden="false" customHeight="false" outlineLevel="0" collapsed="false">
      <c r="A11" s="24" t="n">
        <v>10</v>
      </c>
      <c r="B11" s="24" t="s">
        <v>92</v>
      </c>
      <c r="C11" s="24" t="s">
        <v>43</v>
      </c>
      <c r="D11" s="25" t="n">
        <v>3</v>
      </c>
      <c r="E11" s="26" t="n">
        <v>40000000</v>
      </c>
      <c r="F11" s="27" t="n">
        <f aca="false">IF(1&lt;$D11,0,$E11*Assumptions!$C$4*INDEX(Assumptions!$C$8:$C$12,MIN(1-$D11+1,5)))</f>
        <v>0</v>
      </c>
      <c r="G11" s="27" t="n">
        <f aca="false">IF(2&lt;$D11,0,$E11*Assumptions!$C$4*INDEX(Assumptions!$C$8:$C$12,MIN(2-$D11+1,5)))</f>
        <v>0</v>
      </c>
      <c r="H11" s="27" t="n">
        <f aca="false">IF(3&lt;$D11,0,$E11*Assumptions!$C$4*INDEX(Assumptions!$C$8:$C$12,MIN(3-$D11+1,5)))</f>
        <v>9000000</v>
      </c>
      <c r="I11" s="27" t="n">
        <f aca="false">IF(4&lt;$D11,0,$E11*Assumptions!$C$4*INDEX(Assumptions!$C$8:$C$12,MIN(4-$D11+1,5)))</f>
        <v>27000000</v>
      </c>
      <c r="J11" s="27" t="n">
        <f aca="false">IF(5&lt;$D11,0,$E11*Assumptions!$C$4*INDEX(Assumptions!$C$8:$C$12,MIN(5-$D11+1,5)))</f>
        <v>45000000</v>
      </c>
    </row>
    <row r="12" customFormat="false" ht="15" hidden="false" customHeight="false" outlineLevel="0" collapsed="false">
      <c r="A12" s="20" t="n">
        <v>11</v>
      </c>
      <c r="B12" s="20" t="s">
        <v>93</v>
      </c>
      <c r="C12" s="20" t="s">
        <v>43</v>
      </c>
      <c r="D12" s="21" t="n">
        <v>4</v>
      </c>
      <c r="E12" s="22" t="n">
        <v>15000000</v>
      </c>
      <c r="F12" s="23" t="n">
        <f aca="false">IF(1&lt;$D12,0,$E12*Assumptions!$C$4*INDEX(Assumptions!$C$8:$C$12,MIN(1-$D12+1,5)))</f>
        <v>0</v>
      </c>
      <c r="G12" s="23" t="n">
        <f aca="false">IF(2&lt;$D12,0,$E12*Assumptions!$C$4*INDEX(Assumptions!$C$8:$C$12,MIN(2-$D12+1,5)))</f>
        <v>0</v>
      </c>
      <c r="H12" s="23" t="n">
        <f aca="false">IF(3&lt;$D12,0,$E12*Assumptions!$C$4*INDEX(Assumptions!$C$8:$C$12,MIN(3-$D12+1,5)))</f>
        <v>0</v>
      </c>
      <c r="I12" s="23" t="n">
        <f aca="false">IF(4&lt;$D12,0,$E12*Assumptions!$C$4*INDEX(Assumptions!$C$8:$C$12,MIN(4-$D12+1,5)))</f>
        <v>3375000</v>
      </c>
      <c r="J12" s="23" t="n">
        <f aca="false">IF(5&lt;$D12,0,$E12*Assumptions!$C$4*INDEX(Assumptions!$C$8:$C$12,MIN(5-$D12+1,5)))</f>
        <v>10125000</v>
      </c>
    </row>
    <row r="13" customFormat="false" ht="15" hidden="false" customHeight="false" outlineLevel="0" collapsed="false">
      <c r="A13" s="24" t="n">
        <v>12</v>
      </c>
      <c r="B13" s="24" t="s">
        <v>94</v>
      </c>
      <c r="C13" s="24" t="s">
        <v>43</v>
      </c>
      <c r="D13" s="25" t="n">
        <v>3</v>
      </c>
      <c r="E13" s="26" t="n">
        <v>50000000</v>
      </c>
      <c r="F13" s="27" t="n">
        <f aca="false">IF(1&lt;$D13,0,$E13*Assumptions!$C$4*INDEX(Assumptions!$C$8:$C$12,MIN(1-$D13+1,5)))</f>
        <v>0</v>
      </c>
      <c r="G13" s="27" t="n">
        <f aca="false">IF(2&lt;$D13,0,$E13*Assumptions!$C$4*INDEX(Assumptions!$C$8:$C$12,MIN(2-$D13+1,5)))</f>
        <v>0</v>
      </c>
      <c r="H13" s="27" t="n">
        <f aca="false">IF(3&lt;$D13,0,$E13*Assumptions!$C$4*INDEX(Assumptions!$C$8:$C$12,MIN(3-$D13+1,5)))</f>
        <v>11250000</v>
      </c>
      <c r="I13" s="27" t="n">
        <f aca="false">IF(4&lt;$D13,0,$E13*Assumptions!$C$4*INDEX(Assumptions!$C$8:$C$12,MIN(4-$D13+1,5)))</f>
        <v>33750000</v>
      </c>
      <c r="J13" s="27" t="n">
        <f aca="false">IF(5&lt;$D13,0,$E13*Assumptions!$C$4*INDEX(Assumptions!$C$8:$C$12,MIN(5-$D13+1,5)))</f>
        <v>56250000</v>
      </c>
    </row>
    <row r="14" customFormat="false" ht="15" hidden="false" customHeight="false" outlineLevel="0" collapsed="false">
      <c r="A14" s="20" t="n">
        <v>13</v>
      </c>
      <c r="B14" s="20" t="s">
        <v>95</v>
      </c>
      <c r="C14" s="20" t="s">
        <v>43</v>
      </c>
      <c r="D14" s="21" t="n">
        <v>4</v>
      </c>
      <c r="E14" s="22" t="n">
        <v>25000000</v>
      </c>
      <c r="F14" s="23" t="n">
        <f aca="false">IF(1&lt;$D14,0,$E14*Assumptions!$C$4*INDEX(Assumptions!$C$8:$C$12,MIN(1-$D14+1,5)))</f>
        <v>0</v>
      </c>
      <c r="G14" s="23" t="n">
        <f aca="false">IF(2&lt;$D14,0,$E14*Assumptions!$C$4*INDEX(Assumptions!$C$8:$C$12,MIN(2-$D14+1,5)))</f>
        <v>0</v>
      </c>
      <c r="H14" s="23" t="n">
        <f aca="false">IF(3&lt;$D14,0,$E14*Assumptions!$C$4*INDEX(Assumptions!$C$8:$C$12,MIN(3-$D14+1,5)))</f>
        <v>0</v>
      </c>
      <c r="I14" s="23" t="n">
        <f aca="false">IF(4&lt;$D14,0,$E14*Assumptions!$C$4*INDEX(Assumptions!$C$8:$C$12,MIN(4-$D14+1,5)))</f>
        <v>5625000</v>
      </c>
      <c r="J14" s="23" t="n">
        <f aca="false">IF(5&lt;$D14,0,$E14*Assumptions!$C$4*INDEX(Assumptions!$C$8:$C$12,MIN(5-$D14+1,5)))</f>
        <v>16875000</v>
      </c>
    </row>
    <row r="15" customFormat="false" ht="15" hidden="false" customHeight="false" outlineLevel="0" collapsed="false">
      <c r="A15" s="24" t="n">
        <v>14</v>
      </c>
      <c r="B15" s="24" t="s">
        <v>96</v>
      </c>
      <c r="C15" s="24" t="s">
        <v>43</v>
      </c>
      <c r="D15" s="25" t="n">
        <v>4</v>
      </c>
      <c r="E15" s="26" t="n">
        <v>35000000</v>
      </c>
      <c r="F15" s="27" t="n">
        <f aca="false">IF(1&lt;$D15,0,$E15*Assumptions!$C$4*INDEX(Assumptions!$C$8:$C$12,MIN(1-$D15+1,5)))</f>
        <v>0</v>
      </c>
      <c r="G15" s="27" t="n">
        <f aca="false">IF(2&lt;$D15,0,$E15*Assumptions!$C$4*INDEX(Assumptions!$C$8:$C$12,MIN(2-$D15+1,5)))</f>
        <v>0</v>
      </c>
      <c r="H15" s="27" t="n">
        <f aca="false">IF(3&lt;$D15,0,$E15*Assumptions!$C$4*INDEX(Assumptions!$C$8:$C$12,MIN(3-$D15+1,5)))</f>
        <v>0</v>
      </c>
      <c r="I15" s="27" t="n">
        <f aca="false">IF(4&lt;$D15,0,$E15*Assumptions!$C$4*INDEX(Assumptions!$C$8:$C$12,MIN(4-$D15+1,5)))</f>
        <v>7875000</v>
      </c>
      <c r="J15" s="27" t="n">
        <f aca="false">IF(5&lt;$D15,0,$E15*Assumptions!$C$4*INDEX(Assumptions!$C$8:$C$12,MIN(5-$D15+1,5)))</f>
        <v>23625000</v>
      </c>
    </row>
    <row r="16" customFormat="false" ht="15" hidden="false" customHeight="false" outlineLevel="0" collapsed="false">
      <c r="A16" s="20" t="n">
        <v>15</v>
      </c>
      <c r="B16" s="20" t="s">
        <v>97</v>
      </c>
      <c r="C16" s="20" t="s">
        <v>43</v>
      </c>
      <c r="D16" s="21" t="n">
        <v>4</v>
      </c>
      <c r="E16" s="22" t="n">
        <v>45000000</v>
      </c>
      <c r="F16" s="23" t="n">
        <f aca="false">IF(1&lt;$D16,0,$E16*Assumptions!$C$4*INDEX(Assumptions!$C$8:$C$12,MIN(1-$D16+1,5)))</f>
        <v>0</v>
      </c>
      <c r="G16" s="23" t="n">
        <f aca="false">IF(2&lt;$D16,0,$E16*Assumptions!$C$4*INDEX(Assumptions!$C$8:$C$12,MIN(2-$D16+1,5)))</f>
        <v>0</v>
      </c>
      <c r="H16" s="23" t="n">
        <f aca="false">IF(3&lt;$D16,0,$E16*Assumptions!$C$4*INDEX(Assumptions!$C$8:$C$12,MIN(3-$D16+1,5)))</f>
        <v>0</v>
      </c>
      <c r="I16" s="23" t="n">
        <f aca="false">IF(4&lt;$D16,0,$E16*Assumptions!$C$4*INDEX(Assumptions!$C$8:$C$12,MIN(4-$D16+1,5)))</f>
        <v>10125000</v>
      </c>
      <c r="J16" s="23" t="n">
        <f aca="false">IF(5&lt;$D16,0,$E16*Assumptions!$C$4*INDEX(Assumptions!$C$8:$C$12,MIN(5-$D16+1,5)))</f>
        <v>30375000</v>
      </c>
    </row>
    <row r="17" customFormat="false" ht="15" hidden="false" customHeight="false" outlineLevel="0" collapsed="false">
      <c r="A17" s="24" t="n">
        <v>16</v>
      </c>
      <c r="B17" s="24" t="s">
        <v>98</v>
      </c>
      <c r="C17" s="24" t="s">
        <v>45</v>
      </c>
      <c r="D17" s="25" t="n">
        <v>3</v>
      </c>
      <c r="E17" s="26" t="n">
        <v>10000000</v>
      </c>
      <c r="F17" s="27" t="n">
        <f aca="false">IF(1&lt;$D17,0,$E17*Assumptions!$C$4*INDEX(Assumptions!$C$8:$C$12,MIN(1-$D17+1,5)))</f>
        <v>0</v>
      </c>
      <c r="G17" s="27" t="n">
        <f aca="false">IF(2&lt;$D17,0,$E17*Assumptions!$C$4*INDEX(Assumptions!$C$8:$C$12,MIN(2-$D17+1,5)))</f>
        <v>0</v>
      </c>
      <c r="H17" s="27" t="n">
        <f aca="false">IF(3&lt;$D17,0,$E17*Assumptions!$C$4*INDEX(Assumptions!$C$8:$C$12,MIN(3-$D17+1,5)))</f>
        <v>2250000</v>
      </c>
      <c r="I17" s="27" t="n">
        <f aca="false">IF(4&lt;$D17,0,$E17*Assumptions!$C$4*INDEX(Assumptions!$C$8:$C$12,MIN(4-$D17+1,5)))</f>
        <v>6750000</v>
      </c>
      <c r="J17" s="27" t="n">
        <f aca="false">IF(5&lt;$D17,0,$E17*Assumptions!$C$4*INDEX(Assumptions!$C$8:$C$12,MIN(5-$D17+1,5)))</f>
        <v>11250000</v>
      </c>
    </row>
    <row r="18" customFormat="false" ht="15" hidden="false" customHeight="false" outlineLevel="0" collapsed="false">
      <c r="A18" s="20" t="n">
        <v>17</v>
      </c>
      <c r="B18" s="20" t="s">
        <v>99</v>
      </c>
      <c r="C18" s="20" t="s">
        <v>45</v>
      </c>
      <c r="D18" s="21" t="n">
        <v>3</v>
      </c>
      <c r="E18" s="22" t="n">
        <v>15000000</v>
      </c>
      <c r="F18" s="23" t="n">
        <f aca="false">IF(1&lt;$D18,0,$E18*Assumptions!$C$4*INDEX(Assumptions!$C$8:$C$12,MIN(1-$D18+1,5)))</f>
        <v>0</v>
      </c>
      <c r="G18" s="23" t="n">
        <f aca="false">IF(2&lt;$D18,0,$E18*Assumptions!$C$4*INDEX(Assumptions!$C$8:$C$12,MIN(2-$D18+1,5)))</f>
        <v>0</v>
      </c>
      <c r="H18" s="23" t="n">
        <f aca="false">IF(3&lt;$D18,0,$E18*Assumptions!$C$4*INDEX(Assumptions!$C$8:$C$12,MIN(3-$D18+1,5)))</f>
        <v>3375000</v>
      </c>
      <c r="I18" s="23" t="n">
        <f aca="false">IF(4&lt;$D18,0,$E18*Assumptions!$C$4*INDEX(Assumptions!$C$8:$C$12,MIN(4-$D18+1,5)))</f>
        <v>10125000</v>
      </c>
      <c r="J18" s="23" t="n">
        <f aca="false">IF(5&lt;$D18,0,$E18*Assumptions!$C$4*INDEX(Assumptions!$C$8:$C$12,MIN(5-$D18+1,5)))</f>
        <v>16875000</v>
      </c>
    </row>
    <row r="19" customFormat="false" ht="15" hidden="false" customHeight="false" outlineLevel="0" collapsed="false">
      <c r="A19" s="24" t="n">
        <v>18</v>
      </c>
      <c r="B19" s="24" t="s">
        <v>100</v>
      </c>
      <c r="C19" s="24" t="s">
        <v>45</v>
      </c>
      <c r="D19" s="25" t="n">
        <v>3</v>
      </c>
      <c r="E19" s="26" t="n">
        <v>150000000</v>
      </c>
      <c r="F19" s="27" t="n">
        <f aca="false">IF(1&lt;$D19,0,$E19*Assumptions!$C$4*INDEX(Assumptions!$C$8:$C$12,MIN(1-$D19+1,5)))</f>
        <v>0</v>
      </c>
      <c r="G19" s="27" t="n">
        <f aca="false">IF(2&lt;$D19,0,$E19*Assumptions!$C$4*INDEX(Assumptions!$C$8:$C$12,MIN(2-$D19+1,5)))</f>
        <v>0</v>
      </c>
      <c r="H19" s="27" t="n">
        <f aca="false">IF(3&lt;$D19,0,$E19*Assumptions!$C$4*INDEX(Assumptions!$C$8:$C$12,MIN(3-$D19+1,5)))</f>
        <v>33750000</v>
      </c>
      <c r="I19" s="27" t="n">
        <f aca="false">IF(4&lt;$D19,0,$E19*Assumptions!$C$4*INDEX(Assumptions!$C$8:$C$12,MIN(4-$D19+1,5)))</f>
        <v>101250000</v>
      </c>
      <c r="J19" s="27" t="n">
        <f aca="false">IF(5&lt;$D19,0,$E19*Assumptions!$C$4*INDEX(Assumptions!$C$8:$C$12,MIN(5-$D19+1,5)))</f>
        <v>168750000</v>
      </c>
    </row>
    <row r="20" customFormat="false" ht="15" hidden="false" customHeight="false" outlineLevel="0" collapsed="false">
      <c r="A20" s="20" t="n">
        <v>19</v>
      </c>
      <c r="B20" s="20" t="s">
        <v>101</v>
      </c>
      <c r="C20" s="20" t="s">
        <v>45</v>
      </c>
      <c r="D20" s="21" t="n">
        <v>3</v>
      </c>
      <c r="E20" s="22" t="n">
        <v>40000000</v>
      </c>
      <c r="F20" s="23" t="n">
        <f aca="false">IF(1&lt;$D20,0,$E20*Assumptions!$C$4*INDEX(Assumptions!$C$8:$C$12,MIN(1-$D20+1,5)))</f>
        <v>0</v>
      </c>
      <c r="G20" s="23" t="n">
        <f aca="false">IF(2&lt;$D20,0,$E20*Assumptions!$C$4*INDEX(Assumptions!$C$8:$C$12,MIN(2-$D20+1,5)))</f>
        <v>0</v>
      </c>
      <c r="H20" s="23" t="n">
        <f aca="false">IF(3&lt;$D20,0,$E20*Assumptions!$C$4*INDEX(Assumptions!$C$8:$C$12,MIN(3-$D20+1,5)))</f>
        <v>9000000</v>
      </c>
      <c r="I20" s="23" t="n">
        <f aca="false">IF(4&lt;$D20,0,$E20*Assumptions!$C$4*INDEX(Assumptions!$C$8:$C$12,MIN(4-$D20+1,5)))</f>
        <v>27000000</v>
      </c>
      <c r="J20" s="23" t="n">
        <f aca="false">IF(5&lt;$D20,0,$E20*Assumptions!$C$4*INDEX(Assumptions!$C$8:$C$12,MIN(5-$D20+1,5)))</f>
        <v>45000000</v>
      </c>
    </row>
    <row r="21" customFormat="false" ht="15" hidden="false" customHeight="false" outlineLevel="0" collapsed="false">
      <c r="A21" s="24" t="n">
        <v>20</v>
      </c>
      <c r="B21" s="24" t="s">
        <v>102</v>
      </c>
      <c r="C21" s="24" t="s">
        <v>45</v>
      </c>
      <c r="D21" s="25" t="n">
        <v>3</v>
      </c>
      <c r="E21" s="26" t="n">
        <v>60000000</v>
      </c>
      <c r="F21" s="27" t="n">
        <f aca="false">IF(1&lt;$D21,0,$E21*Assumptions!$C$4*INDEX(Assumptions!$C$8:$C$12,MIN(1-$D21+1,5)))</f>
        <v>0</v>
      </c>
      <c r="G21" s="27" t="n">
        <f aca="false">IF(2&lt;$D21,0,$E21*Assumptions!$C$4*INDEX(Assumptions!$C$8:$C$12,MIN(2-$D21+1,5)))</f>
        <v>0</v>
      </c>
      <c r="H21" s="27" t="n">
        <f aca="false">IF(3&lt;$D21,0,$E21*Assumptions!$C$4*INDEX(Assumptions!$C$8:$C$12,MIN(3-$D21+1,5)))</f>
        <v>13500000</v>
      </c>
      <c r="I21" s="27" t="n">
        <f aca="false">IF(4&lt;$D21,0,$E21*Assumptions!$C$4*INDEX(Assumptions!$C$8:$C$12,MIN(4-$D21+1,5)))</f>
        <v>40500000</v>
      </c>
      <c r="J21" s="27" t="n">
        <f aca="false">IF(5&lt;$D21,0,$E21*Assumptions!$C$4*INDEX(Assumptions!$C$8:$C$12,MIN(5-$D21+1,5)))</f>
        <v>67500000</v>
      </c>
    </row>
    <row r="22" customFormat="false" ht="15" hidden="false" customHeight="false" outlineLevel="0" collapsed="false">
      <c r="A22" s="20" t="n">
        <v>21</v>
      </c>
      <c r="B22" s="20" t="s">
        <v>103</v>
      </c>
      <c r="C22" s="20" t="s">
        <v>45</v>
      </c>
      <c r="D22" s="21" t="n">
        <v>4</v>
      </c>
      <c r="E22" s="22" t="n">
        <v>8000000</v>
      </c>
      <c r="F22" s="23" t="n">
        <f aca="false">IF(1&lt;$D22,0,$E22*Assumptions!$C$4*INDEX(Assumptions!$C$8:$C$12,MIN(1-$D22+1,5)))</f>
        <v>0</v>
      </c>
      <c r="G22" s="23" t="n">
        <f aca="false">IF(2&lt;$D22,0,$E22*Assumptions!$C$4*INDEX(Assumptions!$C$8:$C$12,MIN(2-$D22+1,5)))</f>
        <v>0</v>
      </c>
      <c r="H22" s="23" t="n">
        <f aca="false">IF(3&lt;$D22,0,$E22*Assumptions!$C$4*INDEX(Assumptions!$C$8:$C$12,MIN(3-$D22+1,5)))</f>
        <v>0</v>
      </c>
      <c r="I22" s="23" t="n">
        <f aca="false">IF(4&lt;$D22,0,$E22*Assumptions!$C$4*INDEX(Assumptions!$C$8:$C$12,MIN(4-$D22+1,5)))</f>
        <v>1800000</v>
      </c>
      <c r="J22" s="23" t="n">
        <f aca="false">IF(5&lt;$D22,0,$E22*Assumptions!$C$4*INDEX(Assumptions!$C$8:$C$12,MIN(5-$D22+1,5)))</f>
        <v>5400000</v>
      </c>
    </row>
    <row r="23" customFormat="false" ht="15" hidden="false" customHeight="false" outlineLevel="0" collapsed="false">
      <c r="A23" s="24" t="n">
        <v>22</v>
      </c>
      <c r="B23" s="24" t="s">
        <v>104</v>
      </c>
      <c r="C23" s="24" t="s">
        <v>46</v>
      </c>
      <c r="D23" s="25" t="n">
        <v>3</v>
      </c>
      <c r="E23" s="26" t="n">
        <v>20000000</v>
      </c>
      <c r="F23" s="27" t="n">
        <f aca="false">IF(1&lt;$D23,0,$E23*Assumptions!$C$4*INDEX(Assumptions!$C$8:$C$12,MIN(1-$D23+1,5)))</f>
        <v>0</v>
      </c>
      <c r="G23" s="27" t="n">
        <f aca="false">IF(2&lt;$D23,0,$E23*Assumptions!$C$4*INDEX(Assumptions!$C$8:$C$12,MIN(2-$D23+1,5)))</f>
        <v>0</v>
      </c>
      <c r="H23" s="27" t="n">
        <f aca="false">IF(3&lt;$D23,0,$E23*Assumptions!$C$4*INDEX(Assumptions!$C$8:$C$12,MIN(3-$D23+1,5)))</f>
        <v>4500000</v>
      </c>
      <c r="I23" s="27" t="n">
        <f aca="false">IF(4&lt;$D23,0,$E23*Assumptions!$C$4*INDEX(Assumptions!$C$8:$C$12,MIN(4-$D23+1,5)))</f>
        <v>13500000</v>
      </c>
      <c r="J23" s="27" t="n">
        <f aca="false">IF(5&lt;$D23,0,$E23*Assumptions!$C$4*INDEX(Assumptions!$C$8:$C$12,MIN(5-$D23+1,5)))</f>
        <v>22500000</v>
      </c>
    </row>
    <row r="24" customFormat="false" ht="15" hidden="false" customHeight="false" outlineLevel="0" collapsed="false">
      <c r="A24" s="20" t="n">
        <v>23</v>
      </c>
      <c r="B24" s="20" t="s">
        <v>105</v>
      </c>
      <c r="C24" s="20" t="s">
        <v>46</v>
      </c>
      <c r="D24" s="21" t="n">
        <v>3</v>
      </c>
      <c r="E24" s="22" t="n">
        <v>60000000</v>
      </c>
      <c r="F24" s="23" t="n">
        <f aca="false">IF(1&lt;$D24,0,$E24*Assumptions!$C$4*INDEX(Assumptions!$C$8:$C$12,MIN(1-$D24+1,5)))</f>
        <v>0</v>
      </c>
      <c r="G24" s="23" t="n">
        <f aca="false">IF(2&lt;$D24,0,$E24*Assumptions!$C$4*INDEX(Assumptions!$C$8:$C$12,MIN(2-$D24+1,5)))</f>
        <v>0</v>
      </c>
      <c r="H24" s="23" t="n">
        <f aca="false">IF(3&lt;$D24,0,$E24*Assumptions!$C$4*INDEX(Assumptions!$C$8:$C$12,MIN(3-$D24+1,5)))</f>
        <v>13500000</v>
      </c>
      <c r="I24" s="23" t="n">
        <f aca="false">IF(4&lt;$D24,0,$E24*Assumptions!$C$4*INDEX(Assumptions!$C$8:$C$12,MIN(4-$D24+1,5)))</f>
        <v>40500000</v>
      </c>
      <c r="J24" s="23" t="n">
        <f aca="false">IF(5&lt;$D24,0,$E24*Assumptions!$C$4*INDEX(Assumptions!$C$8:$C$12,MIN(5-$D24+1,5)))</f>
        <v>67500000</v>
      </c>
    </row>
    <row r="25" customFormat="false" ht="15" hidden="false" customHeight="false" outlineLevel="0" collapsed="false">
      <c r="A25" s="24" t="n">
        <v>24</v>
      </c>
      <c r="B25" s="24" t="s">
        <v>106</v>
      </c>
      <c r="C25" s="24" t="s">
        <v>46</v>
      </c>
      <c r="D25" s="25" t="n">
        <v>3</v>
      </c>
      <c r="E25" s="26" t="n">
        <v>15000000</v>
      </c>
      <c r="F25" s="27" t="n">
        <f aca="false">IF(1&lt;$D25,0,$E25*Assumptions!$C$4*INDEX(Assumptions!$C$8:$C$12,MIN(1-$D25+1,5)))</f>
        <v>0</v>
      </c>
      <c r="G25" s="27" t="n">
        <f aca="false">IF(2&lt;$D25,0,$E25*Assumptions!$C$4*INDEX(Assumptions!$C$8:$C$12,MIN(2-$D25+1,5)))</f>
        <v>0</v>
      </c>
      <c r="H25" s="27" t="n">
        <f aca="false">IF(3&lt;$D25,0,$E25*Assumptions!$C$4*INDEX(Assumptions!$C$8:$C$12,MIN(3-$D25+1,5)))</f>
        <v>3375000</v>
      </c>
      <c r="I25" s="27" t="n">
        <f aca="false">IF(4&lt;$D25,0,$E25*Assumptions!$C$4*INDEX(Assumptions!$C$8:$C$12,MIN(4-$D25+1,5)))</f>
        <v>10125000</v>
      </c>
      <c r="J25" s="27" t="n">
        <f aca="false">IF(5&lt;$D25,0,$E25*Assumptions!$C$4*INDEX(Assumptions!$C$8:$C$12,MIN(5-$D25+1,5)))</f>
        <v>16875000</v>
      </c>
    </row>
    <row r="26" customFormat="false" ht="15" hidden="false" customHeight="false" outlineLevel="0" collapsed="false">
      <c r="A26" s="20" t="n">
        <v>25</v>
      </c>
      <c r="B26" s="20" t="s">
        <v>107</v>
      </c>
      <c r="C26" s="20" t="s">
        <v>46</v>
      </c>
      <c r="D26" s="21" t="n">
        <v>2</v>
      </c>
      <c r="E26" s="22" t="n">
        <v>25000000</v>
      </c>
      <c r="F26" s="23" t="n">
        <f aca="false">IF(1&lt;$D26,0,$E26*Assumptions!$C$4*INDEX(Assumptions!$C$8:$C$12,MIN(1-$D26+1,5)))</f>
        <v>0</v>
      </c>
      <c r="G26" s="23" t="n">
        <f aca="false">IF(2&lt;$D26,0,$E26*Assumptions!$C$4*INDEX(Assumptions!$C$8:$C$12,MIN(2-$D26+1,5)))</f>
        <v>5625000</v>
      </c>
      <c r="H26" s="23" t="n">
        <f aca="false">IF(3&lt;$D26,0,$E26*Assumptions!$C$4*INDEX(Assumptions!$C$8:$C$12,MIN(3-$D26+1,5)))</f>
        <v>16875000</v>
      </c>
      <c r="I26" s="23" t="n">
        <f aca="false">IF(4&lt;$D26,0,$E26*Assumptions!$C$4*INDEX(Assumptions!$C$8:$C$12,MIN(4-$D26+1,5)))</f>
        <v>28125000</v>
      </c>
      <c r="J26" s="23" t="n">
        <f aca="false">IF(5&lt;$D26,0,$E26*Assumptions!$C$4*INDEX(Assumptions!$C$8:$C$12,MIN(5-$D26+1,5)))</f>
        <v>35625000</v>
      </c>
    </row>
    <row r="27" customFormat="false" ht="15" hidden="false" customHeight="false" outlineLevel="0" collapsed="false">
      <c r="A27" s="24" t="n">
        <v>26</v>
      </c>
      <c r="B27" s="24" t="s">
        <v>108</v>
      </c>
      <c r="C27" s="24" t="s">
        <v>46</v>
      </c>
      <c r="D27" s="25" t="n">
        <v>4</v>
      </c>
      <c r="E27" s="26" t="n">
        <v>20000000</v>
      </c>
      <c r="F27" s="27" t="n">
        <f aca="false">IF(1&lt;$D27,0,$E27*Assumptions!$C$4*INDEX(Assumptions!$C$8:$C$12,MIN(1-$D27+1,5)))</f>
        <v>0</v>
      </c>
      <c r="G27" s="27" t="n">
        <f aca="false">IF(2&lt;$D27,0,$E27*Assumptions!$C$4*INDEX(Assumptions!$C$8:$C$12,MIN(2-$D27+1,5)))</f>
        <v>0</v>
      </c>
      <c r="H27" s="27" t="n">
        <f aca="false">IF(3&lt;$D27,0,$E27*Assumptions!$C$4*INDEX(Assumptions!$C$8:$C$12,MIN(3-$D27+1,5)))</f>
        <v>0</v>
      </c>
      <c r="I27" s="27" t="n">
        <f aca="false">IF(4&lt;$D27,0,$E27*Assumptions!$C$4*INDEX(Assumptions!$C$8:$C$12,MIN(4-$D27+1,5)))</f>
        <v>4500000</v>
      </c>
      <c r="J27" s="27" t="n">
        <f aca="false">IF(5&lt;$D27,0,$E27*Assumptions!$C$4*INDEX(Assumptions!$C$8:$C$12,MIN(5-$D27+1,5)))</f>
        <v>13500000</v>
      </c>
    </row>
    <row r="28" customFormat="false" ht="15" hidden="false" customHeight="false" outlineLevel="0" collapsed="false">
      <c r="A28" s="20" t="n">
        <v>27</v>
      </c>
      <c r="B28" s="20" t="s">
        <v>109</v>
      </c>
      <c r="C28" s="20" t="s">
        <v>47</v>
      </c>
      <c r="D28" s="21" t="n">
        <v>4</v>
      </c>
      <c r="E28" s="22" t="n">
        <v>25000000</v>
      </c>
      <c r="F28" s="23" t="n">
        <f aca="false">IF(1&lt;$D28,0,$E28*Assumptions!$C$4*INDEX(Assumptions!$C$8:$C$12,MIN(1-$D28+1,5)))</f>
        <v>0</v>
      </c>
      <c r="G28" s="23" t="n">
        <f aca="false">IF(2&lt;$D28,0,$E28*Assumptions!$C$4*INDEX(Assumptions!$C$8:$C$12,MIN(2-$D28+1,5)))</f>
        <v>0</v>
      </c>
      <c r="H28" s="23" t="n">
        <f aca="false">IF(3&lt;$D28,0,$E28*Assumptions!$C$4*INDEX(Assumptions!$C$8:$C$12,MIN(3-$D28+1,5)))</f>
        <v>0</v>
      </c>
      <c r="I28" s="23" t="n">
        <f aca="false">IF(4&lt;$D28,0,$E28*Assumptions!$C$4*INDEX(Assumptions!$C$8:$C$12,MIN(4-$D28+1,5)))</f>
        <v>5625000</v>
      </c>
      <c r="J28" s="23" t="n">
        <f aca="false">IF(5&lt;$D28,0,$E28*Assumptions!$C$4*INDEX(Assumptions!$C$8:$C$12,MIN(5-$D28+1,5)))</f>
        <v>16875000</v>
      </c>
    </row>
    <row r="29" customFormat="false" ht="15" hidden="false" customHeight="false" outlineLevel="0" collapsed="false">
      <c r="A29" s="24" t="n">
        <v>28</v>
      </c>
      <c r="B29" s="24" t="s">
        <v>110</v>
      </c>
      <c r="C29" s="24" t="s">
        <v>47</v>
      </c>
      <c r="D29" s="25" t="n">
        <v>4</v>
      </c>
      <c r="E29" s="26" t="n">
        <v>35000000</v>
      </c>
      <c r="F29" s="27" t="n">
        <f aca="false">IF(1&lt;$D29,0,$E29*Assumptions!$C$4*INDEX(Assumptions!$C$8:$C$12,MIN(1-$D29+1,5)))</f>
        <v>0</v>
      </c>
      <c r="G29" s="27" t="n">
        <f aca="false">IF(2&lt;$D29,0,$E29*Assumptions!$C$4*INDEX(Assumptions!$C$8:$C$12,MIN(2-$D29+1,5)))</f>
        <v>0</v>
      </c>
      <c r="H29" s="27" t="n">
        <f aca="false">IF(3&lt;$D29,0,$E29*Assumptions!$C$4*INDEX(Assumptions!$C$8:$C$12,MIN(3-$D29+1,5)))</f>
        <v>0</v>
      </c>
      <c r="I29" s="27" t="n">
        <f aca="false">IF(4&lt;$D29,0,$E29*Assumptions!$C$4*INDEX(Assumptions!$C$8:$C$12,MIN(4-$D29+1,5)))</f>
        <v>7875000</v>
      </c>
      <c r="J29" s="27" t="n">
        <f aca="false">IF(5&lt;$D29,0,$E29*Assumptions!$C$4*INDEX(Assumptions!$C$8:$C$12,MIN(5-$D29+1,5)))</f>
        <v>23625000</v>
      </c>
    </row>
    <row r="30" customFormat="false" ht="15" hidden="false" customHeight="false" outlineLevel="0" collapsed="false">
      <c r="A30" s="20" t="n">
        <v>29</v>
      </c>
      <c r="B30" s="20" t="s">
        <v>111</v>
      </c>
      <c r="C30" s="20" t="s">
        <v>47</v>
      </c>
      <c r="D30" s="21" t="n">
        <v>4</v>
      </c>
      <c r="E30" s="22" t="n">
        <v>15000000</v>
      </c>
      <c r="F30" s="23" t="n">
        <f aca="false">IF(1&lt;$D30,0,$E30*Assumptions!$C$4*INDEX(Assumptions!$C$8:$C$12,MIN(1-$D30+1,5)))</f>
        <v>0</v>
      </c>
      <c r="G30" s="23" t="n">
        <f aca="false">IF(2&lt;$D30,0,$E30*Assumptions!$C$4*INDEX(Assumptions!$C$8:$C$12,MIN(2-$D30+1,5)))</f>
        <v>0</v>
      </c>
      <c r="H30" s="23" t="n">
        <f aca="false">IF(3&lt;$D30,0,$E30*Assumptions!$C$4*INDEX(Assumptions!$C$8:$C$12,MIN(3-$D30+1,5)))</f>
        <v>0</v>
      </c>
      <c r="I30" s="23" t="n">
        <f aca="false">IF(4&lt;$D30,0,$E30*Assumptions!$C$4*INDEX(Assumptions!$C$8:$C$12,MIN(4-$D30+1,5)))</f>
        <v>3375000</v>
      </c>
      <c r="J30" s="23" t="n">
        <f aca="false">IF(5&lt;$D30,0,$E30*Assumptions!$C$4*INDEX(Assumptions!$C$8:$C$12,MIN(5-$D30+1,5)))</f>
        <v>10125000</v>
      </c>
    </row>
    <row r="31" customFormat="false" ht="15" hidden="false" customHeight="false" outlineLevel="0" collapsed="false">
      <c r="A31" s="24" t="n">
        <v>30</v>
      </c>
      <c r="B31" s="24" t="s">
        <v>112</v>
      </c>
      <c r="C31" s="24" t="s">
        <v>47</v>
      </c>
      <c r="D31" s="25" t="n">
        <v>5</v>
      </c>
      <c r="E31" s="26" t="n">
        <v>10000000</v>
      </c>
      <c r="F31" s="27" t="n">
        <f aca="false">IF(1&lt;$D31,0,$E31*Assumptions!$C$4*INDEX(Assumptions!$C$8:$C$12,MIN(1-$D31+1,5)))</f>
        <v>0</v>
      </c>
      <c r="G31" s="27" t="n">
        <f aca="false">IF(2&lt;$D31,0,$E31*Assumptions!$C$4*INDEX(Assumptions!$C$8:$C$12,MIN(2-$D31+1,5)))</f>
        <v>0</v>
      </c>
      <c r="H31" s="27" t="n">
        <f aca="false">IF(3&lt;$D31,0,$E31*Assumptions!$C$4*INDEX(Assumptions!$C$8:$C$12,MIN(3-$D31+1,5)))</f>
        <v>0</v>
      </c>
      <c r="I31" s="27" t="n">
        <f aca="false">IF(4&lt;$D31,0,$E31*Assumptions!$C$4*INDEX(Assumptions!$C$8:$C$12,MIN(4-$D31+1,5)))</f>
        <v>0</v>
      </c>
      <c r="J31" s="27" t="n">
        <f aca="false">IF(5&lt;$D31,0,$E31*Assumptions!$C$4*INDEX(Assumptions!$C$8:$C$12,MIN(5-$D31+1,5)))</f>
        <v>2250000</v>
      </c>
    </row>
    <row r="32" customFormat="false" ht="15" hidden="false" customHeight="false" outlineLevel="0" collapsed="false">
      <c r="A32" s="20" t="n">
        <v>31</v>
      </c>
      <c r="B32" s="20" t="s">
        <v>113</v>
      </c>
      <c r="C32" s="20" t="s">
        <v>48</v>
      </c>
      <c r="D32" s="21" t="n">
        <v>1</v>
      </c>
      <c r="E32" s="22" t="n">
        <v>90000000</v>
      </c>
      <c r="F32" s="23" t="n">
        <f aca="false">IF(1&lt;$D32,0,$E32*Assumptions!$C$4*INDEX(Assumptions!$C$8:$C$12,MIN(1-$D32+1,5)))</f>
        <v>20250000</v>
      </c>
      <c r="G32" s="23" t="n">
        <f aca="false">IF(2&lt;$D32,0,$E32*Assumptions!$C$4*INDEX(Assumptions!$C$8:$C$12,MIN(2-$D32+1,5)))</f>
        <v>60750000</v>
      </c>
      <c r="H32" s="23" t="n">
        <f aca="false">IF(3&lt;$D32,0,$E32*Assumptions!$C$4*INDEX(Assumptions!$C$8:$C$12,MIN(3-$D32+1,5)))</f>
        <v>101250000</v>
      </c>
      <c r="I32" s="23" t="n">
        <f aca="false">IF(4&lt;$D32,0,$E32*Assumptions!$C$4*INDEX(Assumptions!$C$8:$C$12,MIN(4-$D32+1,5)))</f>
        <v>128250000</v>
      </c>
      <c r="J32" s="23" t="n">
        <f aca="false">IF(5&lt;$D32,0,$E32*Assumptions!$C$4*INDEX(Assumptions!$C$8:$C$12,MIN(5-$D32+1,5)))</f>
        <v>135000000</v>
      </c>
    </row>
    <row r="33" customFormat="false" ht="15" hidden="false" customHeight="false" outlineLevel="0" collapsed="false">
      <c r="A33" s="24" t="n">
        <v>32</v>
      </c>
      <c r="B33" s="24" t="s">
        <v>114</v>
      </c>
      <c r="C33" s="24" t="s">
        <v>48</v>
      </c>
      <c r="D33" s="25" t="n">
        <v>1</v>
      </c>
      <c r="E33" s="26" t="n">
        <v>70000000</v>
      </c>
      <c r="F33" s="27" t="n">
        <f aca="false">IF(1&lt;$D33,0,$E33*Assumptions!$C$4*INDEX(Assumptions!$C$8:$C$12,MIN(1-$D33+1,5)))</f>
        <v>15750000</v>
      </c>
      <c r="G33" s="27" t="n">
        <f aca="false">IF(2&lt;$D33,0,$E33*Assumptions!$C$4*INDEX(Assumptions!$C$8:$C$12,MIN(2-$D33+1,5)))</f>
        <v>47250000</v>
      </c>
      <c r="H33" s="27" t="n">
        <f aca="false">IF(3&lt;$D33,0,$E33*Assumptions!$C$4*INDEX(Assumptions!$C$8:$C$12,MIN(3-$D33+1,5)))</f>
        <v>78750000</v>
      </c>
      <c r="I33" s="27" t="n">
        <f aca="false">IF(4&lt;$D33,0,$E33*Assumptions!$C$4*INDEX(Assumptions!$C$8:$C$12,MIN(4-$D33+1,5)))</f>
        <v>99750000</v>
      </c>
      <c r="J33" s="27" t="n">
        <f aca="false">IF(5&lt;$D33,0,$E33*Assumptions!$C$4*INDEX(Assumptions!$C$8:$C$12,MIN(5-$D33+1,5)))</f>
        <v>105000000</v>
      </c>
    </row>
    <row r="34" customFormat="false" ht="15" hidden="false" customHeight="false" outlineLevel="0" collapsed="false">
      <c r="A34" s="20" t="n">
        <v>33</v>
      </c>
      <c r="B34" s="20" t="s">
        <v>115</v>
      </c>
      <c r="C34" s="20" t="s">
        <v>48</v>
      </c>
      <c r="D34" s="21" t="n">
        <v>1</v>
      </c>
      <c r="E34" s="22" t="n">
        <v>60000000</v>
      </c>
      <c r="F34" s="23" t="n">
        <f aca="false">IF(1&lt;$D34,0,$E34*Assumptions!$C$4*INDEX(Assumptions!$C$8:$C$12,MIN(1-$D34+1,5)))</f>
        <v>13500000</v>
      </c>
      <c r="G34" s="23" t="n">
        <f aca="false">IF(2&lt;$D34,0,$E34*Assumptions!$C$4*INDEX(Assumptions!$C$8:$C$12,MIN(2-$D34+1,5)))</f>
        <v>40500000</v>
      </c>
      <c r="H34" s="23" t="n">
        <f aca="false">IF(3&lt;$D34,0,$E34*Assumptions!$C$4*INDEX(Assumptions!$C$8:$C$12,MIN(3-$D34+1,5)))</f>
        <v>67500000</v>
      </c>
      <c r="I34" s="23" t="n">
        <f aca="false">IF(4&lt;$D34,0,$E34*Assumptions!$C$4*INDEX(Assumptions!$C$8:$C$12,MIN(4-$D34+1,5)))</f>
        <v>85500000</v>
      </c>
      <c r="J34" s="23" t="n">
        <f aca="false">IF(5&lt;$D34,0,$E34*Assumptions!$C$4*INDEX(Assumptions!$C$8:$C$12,MIN(5-$D34+1,5)))</f>
        <v>90000000</v>
      </c>
    </row>
    <row r="35" customFormat="false" ht="15" hidden="false" customHeight="false" outlineLevel="0" collapsed="false">
      <c r="A35" s="24" t="n">
        <v>34</v>
      </c>
      <c r="B35" s="24" t="s">
        <v>116</v>
      </c>
      <c r="C35" s="24" t="s">
        <v>48</v>
      </c>
      <c r="D35" s="25" t="n">
        <v>2</v>
      </c>
      <c r="E35" s="26" t="n">
        <v>40000000</v>
      </c>
      <c r="F35" s="27" t="n">
        <f aca="false">IF(1&lt;$D35,0,$E35*Assumptions!$C$4*INDEX(Assumptions!$C$8:$C$12,MIN(1-$D35+1,5)))</f>
        <v>0</v>
      </c>
      <c r="G35" s="27" t="n">
        <f aca="false">IF(2&lt;$D35,0,$E35*Assumptions!$C$4*INDEX(Assumptions!$C$8:$C$12,MIN(2-$D35+1,5)))</f>
        <v>9000000</v>
      </c>
      <c r="H35" s="27" t="n">
        <f aca="false">IF(3&lt;$D35,0,$E35*Assumptions!$C$4*INDEX(Assumptions!$C$8:$C$12,MIN(3-$D35+1,5)))</f>
        <v>27000000</v>
      </c>
      <c r="I35" s="27" t="n">
        <f aca="false">IF(4&lt;$D35,0,$E35*Assumptions!$C$4*INDEX(Assumptions!$C$8:$C$12,MIN(4-$D35+1,5)))</f>
        <v>45000000</v>
      </c>
      <c r="J35" s="27" t="n">
        <f aca="false">IF(5&lt;$D35,0,$E35*Assumptions!$C$4*INDEX(Assumptions!$C$8:$C$12,MIN(5-$D35+1,5)))</f>
        <v>57000000</v>
      </c>
    </row>
    <row r="36" customFormat="false" ht="15" hidden="false" customHeight="false" outlineLevel="0" collapsed="false">
      <c r="A36" s="20" t="n">
        <v>35</v>
      </c>
      <c r="B36" s="20" t="s">
        <v>117</v>
      </c>
      <c r="C36" s="20" t="s">
        <v>48</v>
      </c>
      <c r="D36" s="21" t="n">
        <v>2</v>
      </c>
      <c r="E36" s="22" t="n">
        <v>30000000</v>
      </c>
      <c r="F36" s="23" t="n">
        <f aca="false">IF(1&lt;$D36,0,$E36*Assumptions!$C$4*INDEX(Assumptions!$C$8:$C$12,MIN(1-$D36+1,5)))</f>
        <v>0</v>
      </c>
      <c r="G36" s="23" t="n">
        <f aca="false">IF(2&lt;$D36,0,$E36*Assumptions!$C$4*INDEX(Assumptions!$C$8:$C$12,MIN(2-$D36+1,5)))</f>
        <v>6750000</v>
      </c>
      <c r="H36" s="23" t="n">
        <f aca="false">IF(3&lt;$D36,0,$E36*Assumptions!$C$4*INDEX(Assumptions!$C$8:$C$12,MIN(3-$D36+1,5)))</f>
        <v>20250000</v>
      </c>
      <c r="I36" s="23" t="n">
        <f aca="false">IF(4&lt;$D36,0,$E36*Assumptions!$C$4*INDEX(Assumptions!$C$8:$C$12,MIN(4-$D36+1,5)))</f>
        <v>33750000</v>
      </c>
      <c r="J36" s="23" t="n">
        <f aca="false">IF(5&lt;$D36,0,$E36*Assumptions!$C$4*INDEX(Assumptions!$C$8:$C$12,MIN(5-$D36+1,5)))</f>
        <v>42750000</v>
      </c>
    </row>
    <row r="37" customFormat="false" ht="15" hidden="false" customHeight="false" outlineLevel="0" collapsed="false">
      <c r="A37" s="24" t="n">
        <v>36</v>
      </c>
      <c r="B37" s="24" t="s">
        <v>118</v>
      </c>
      <c r="C37" s="24" t="s">
        <v>48</v>
      </c>
      <c r="D37" s="25" t="n">
        <v>2</v>
      </c>
      <c r="E37" s="26" t="n">
        <v>15000000</v>
      </c>
      <c r="F37" s="27" t="n">
        <f aca="false">IF(1&lt;$D37,0,$E37*Assumptions!$C$4*INDEX(Assumptions!$C$8:$C$12,MIN(1-$D37+1,5)))</f>
        <v>0</v>
      </c>
      <c r="G37" s="27" t="n">
        <f aca="false">IF(2&lt;$D37,0,$E37*Assumptions!$C$4*INDEX(Assumptions!$C$8:$C$12,MIN(2-$D37+1,5)))</f>
        <v>3375000</v>
      </c>
      <c r="H37" s="27" t="n">
        <f aca="false">IF(3&lt;$D37,0,$E37*Assumptions!$C$4*INDEX(Assumptions!$C$8:$C$12,MIN(3-$D37+1,5)))</f>
        <v>10125000</v>
      </c>
      <c r="I37" s="27" t="n">
        <f aca="false">IF(4&lt;$D37,0,$E37*Assumptions!$C$4*INDEX(Assumptions!$C$8:$C$12,MIN(4-$D37+1,5)))</f>
        <v>16875000</v>
      </c>
      <c r="J37" s="27" t="n">
        <f aca="false">IF(5&lt;$D37,0,$E37*Assumptions!$C$4*INDEX(Assumptions!$C$8:$C$12,MIN(5-$D37+1,5)))</f>
        <v>21375000</v>
      </c>
    </row>
    <row r="38" customFormat="false" ht="15" hidden="false" customHeight="false" outlineLevel="0" collapsed="false">
      <c r="A38" s="20" t="n">
        <v>37</v>
      </c>
      <c r="B38" s="20" t="s">
        <v>119</v>
      </c>
      <c r="C38" s="20" t="s">
        <v>49</v>
      </c>
      <c r="D38" s="21" t="n">
        <v>1</v>
      </c>
      <c r="E38" s="22" t="n">
        <v>200000000</v>
      </c>
      <c r="F38" s="23" t="n">
        <f aca="false">IF(1&lt;$D38,0,$E38*Assumptions!$C$4*INDEX(Assumptions!$C$8:$C$12,MIN(1-$D38+1,5)))</f>
        <v>45000000</v>
      </c>
      <c r="G38" s="23" t="n">
        <f aca="false">IF(2&lt;$D38,0,$E38*Assumptions!$C$4*INDEX(Assumptions!$C$8:$C$12,MIN(2-$D38+1,5)))</f>
        <v>135000000</v>
      </c>
      <c r="H38" s="23" t="n">
        <f aca="false">IF(3&lt;$D38,0,$E38*Assumptions!$C$4*INDEX(Assumptions!$C$8:$C$12,MIN(3-$D38+1,5)))</f>
        <v>225000000</v>
      </c>
      <c r="I38" s="23" t="n">
        <f aca="false">IF(4&lt;$D38,0,$E38*Assumptions!$C$4*INDEX(Assumptions!$C$8:$C$12,MIN(4-$D38+1,5)))</f>
        <v>285000000</v>
      </c>
      <c r="J38" s="23" t="n">
        <f aca="false">IF(5&lt;$D38,0,$E38*Assumptions!$C$4*INDEX(Assumptions!$C$8:$C$12,MIN(5-$D38+1,5)))</f>
        <v>300000000</v>
      </c>
    </row>
    <row r="39" customFormat="false" ht="15" hidden="false" customHeight="false" outlineLevel="0" collapsed="false">
      <c r="A39" s="24" t="n">
        <v>38</v>
      </c>
      <c r="B39" s="24" t="s">
        <v>120</v>
      </c>
      <c r="C39" s="24" t="s">
        <v>49</v>
      </c>
      <c r="D39" s="25" t="n">
        <v>1</v>
      </c>
      <c r="E39" s="26" t="n">
        <v>150000000</v>
      </c>
      <c r="F39" s="27" t="n">
        <f aca="false">IF(1&lt;$D39,0,$E39*Assumptions!$C$4*INDEX(Assumptions!$C$8:$C$12,MIN(1-$D39+1,5)))</f>
        <v>33750000</v>
      </c>
      <c r="G39" s="27" t="n">
        <f aca="false">IF(2&lt;$D39,0,$E39*Assumptions!$C$4*INDEX(Assumptions!$C$8:$C$12,MIN(2-$D39+1,5)))</f>
        <v>101250000</v>
      </c>
      <c r="H39" s="27" t="n">
        <f aca="false">IF(3&lt;$D39,0,$E39*Assumptions!$C$4*INDEX(Assumptions!$C$8:$C$12,MIN(3-$D39+1,5)))</f>
        <v>168750000</v>
      </c>
      <c r="I39" s="27" t="n">
        <f aca="false">IF(4&lt;$D39,0,$E39*Assumptions!$C$4*INDEX(Assumptions!$C$8:$C$12,MIN(4-$D39+1,5)))</f>
        <v>213750000</v>
      </c>
      <c r="J39" s="27" t="n">
        <f aca="false">IF(5&lt;$D39,0,$E39*Assumptions!$C$4*INDEX(Assumptions!$C$8:$C$12,MIN(5-$D39+1,5)))</f>
        <v>225000000</v>
      </c>
    </row>
    <row r="40" customFormat="false" ht="15" hidden="false" customHeight="false" outlineLevel="0" collapsed="false">
      <c r="A40" s="20" t="n">
        <v>39</v>
      </c>
      <c r="B40" s="20" t="s">
        <v>121</v>
      </c>
      <c r="C40" s="20" t="s">
        <v>49</v>
      </c>
      <c r="D40" s="21" t="n">
        <v>2</v>
      </c>
      <c r="E40" s="22" t="n">
        <v>40000000</v>
      </c>
      <c r="F40" s="23" t="n">
        <f aca="false">IF(1&lt;$D40,0,$E40*Assumptions!$C$4*INDEX(Assumptions!$C$8:$C$12,MIN(1-$D40+1,5)))</f>
        <v>0</v>
      </c>
      <c r="G40" s="23" t="n">
        <f aca="false">IF(2&lt;$D40,0,$E40*Assumptions!$C$4*INDEX(Assumptions!$C$8:$C$12,MIN(2-$D40+1,5)))</f>
        <v>9000000</v>
      </c>
      <c r="H40" s="23" t="n">
        <f aca="false">IF(3&lt;$D40,0,$E40*Assumptions!$C$4*INDEX(Assumptions!$C$8:$C$12,MIN(3-$D40+1,5)))</f>
        <v>27000000</v>
      </c>
      <c r="I40" s="23" t="n">
        <f aca="false">IF(4&lt;$D40,0,$E40*Assumptions!$C$4*INDEX(Assumptions!$C$8:$C$12,MIN(4-$D40+1,5)))</f>
        <v>45000000</v>
      </c>
      <c r="J40" s="23" t="n">
        <f aca="false">IF(5&lt;$D40,0,$E40*Assumptions!$C$4*INDEX(Assumptions!$C$8:$C$12,MIN(5-$D40+1,5)))</f>
        <v>57000000</v>
      </c>
    </row>
    <row r="41" customFormat="false" ht="15" hidden="false" customHeight="false" outlineLevel="0" collapsed="false">
      <c r="A41" s="24" t="n">
        <v>40</v>
      </c>
      <c r="B41" s="24" t="s">
        <v>122</v>
      </c>
      <c r="C41" s="24" t="s">
        <v>49</v>
      </c>
      <c r="D41" s="25" t="n">
        <v>2</v>
      </c>
      <c r="E41" s="26" t="n">
        <v>60000000</v>
      </c>
      <c r="F41" s="27" t="n">
        <f aca="false">IF(1&lt;$D41,0,$E41*Assumptions!$C$4*INDEX(Assumptions!$C$8:$C$12,MIN(1-$D41+1,5)))</f>
        <v>0</v>
      </c>
      <c r="G41" s="27" t="n">
        <f aca="false">IF(2&lt;$D41,0,$E41*Assumptions!$C$4*INDEX(Assumptions!$C$8:$C$12,MIN(2-$D41+1,5)))</f>
        <v>13500000</v>
      </c>
      <c r="H41" s="27" t="n">
        <f aca="false">IF(3&lt;$D41,0,$E41*Assumptions!$C$4*INDEX(Assumptions!$C$8:$C$12,MIN(3-$D41+1,5)))</f>
        <v>40500000</v>
      </c>
      <c r="I41" s="27" t="n">
        <f aca="false">IF(4&lt;$D41,0,$E41*Assumptions!$C$4*INDEX(Assumptions!$C$8:$C$12,MIN(4-$D41+1,5)))</f>
        <v>67500000</v>
      </c>
      <c r="J41" s="27" t="n">
        <f aca="false">IF(5&lt;$D41,0,$E41*Assumptions!$C$4*INDEX(Assumptions!$C$8:$C$12,MIN(5-$D41+1,5)))</f>
        <v>85500000</v>
      </c>
    </row>
    <row r="42" customFormat="false" ht="15" hidden="false" customHeight="false" outlineLevel="0" collapsed="false">
      <c r="A42" s="20" t="n">
        <v>41</v>
      </c>
      <c r="B42" s="20" t="s">
        <v>123</v>
      </c>
      <c r="C42" s="20" t="s">
        <v>49</v>
      </c>
      <c r="D42" s="21" t="n">
        <v>3</v>
      </c>
      <c r="E42" s="22" t="n">
        <v>25000000</v>
      </c>
      <c r="F42" s="23" t="n">
        <f aca="false">IF(1&lt;$D42,0,$E42*Assumptions!$C$4*INDEX(Assumptions!$C$8:$C$12,MIN(1-$D42+1,5)))</f>
        <v>0</v>
      </c>
      <c r="G42" s="23" t="n">
        <f aca="false">IF(2&lt;$D42,0,$E42*Assumptions!$C$4*INDEX(Assumptions!$C$8:$C$12,MIN(2-$D42+1,5)))</f>
        <v>0</v>
      </c>
      <c r="H42" s="23" t="n">
        <f aca="false">IF(3&lt;$D42,0,$E42*Assumptions!$C$4*INDEX(Assumptions!$C$8:$C$12,MIN(3-$D42+1,5)))</f>
        <v>5625000</v>
      </c>
      <c r="I42" s="23" t="n">
        <f aca="false">IF(4&lt;$D42,0,$E42*Assumptions!$C$4*INDEX(Assumptions!$C$8:$C$12,MIN(4-$D42+1,5)))</f>
        <v>16875000</v>
      </c>
      <c r="J42" s="23" t="n">
        <f aca="false">IF(5&lt;$D42,0,$E42*Assumptions!$C$4*INDEX(Assumptions!$C$8:$C$12,MIN(5-$D42+1,5)))</f>
        <v>28125000</v>
      </c>
    </row>
    <row r="43" customFormat="false" ht="15" hidden="false" customHeight="false" outlineLevel="0" collapsed="false">
      <c r="A43" s="24" t="n">
        <v>42</v>
      </c>
      <c r="B43" s="24" t="s">
        <v>124</v>
      </c>
      <c r="C43" s="24" t="s">
        <v>49</v>
      </c>
      <c r="D43" s="25" t="n">
        <v>3</v>
      </c>
      <c r="E43" s="26" t="n">
        <v>50000000</v>
      </c>
      <c r="F43" s="27" t="n">
        <f aca="false">IF(1&lt;$D43,0,$E43*Assumptions!$C$4*INDEX(Assumptions!$C$8:$C$12,MIN(1-$D43+1,5)))</f>
        <v>0</v>
      </c>
      <c r="G43" s="27" t="n">
        <f aca="false">IF(2&lt;$D43,0,$E43*Assumptions!$C$4*INDEX(Assumptions!$C$8:$C$12,MIN(2-$D43+1,5)))</f>
        <v>0</v>
      </c>
      <c r="H43" s="27" t="n">
        <f aca="false">IF(3&lt;$D43,0,$E43*Assumptions!$C$4*INDEX(Assumptions!$C$8:$C$12,MIN(3-$D43+1,5)))</f>
        <v>11250000</v>
      </c>
      <c r="I43" s="27" t="n">
        <f aca="false">IF(4&lt;$D43,0,$E43*Assumptions!$C$4*INDEX(Assumptions!$C$8:$C$12,MIN(4-$D43+1,5)))</f>
        <v>33750000</v>
      </c>
      <c r="J43" s="27" t="n">
        <f aca="false">IF(5&lt;$D43,0,$E43*Assumptions!$C$4*INDEX(Assumptions!$C$8:$C$12,MIN(5-$D43+1,5)))</f>
        <v>56250000</v>
      </c>
    </row>
    <row r="44" customFormat="false" ht="15" hidden="false" customHeight="false" outlineLevel="0" collapsed="false">
      <c r="A44" s="20" t="n">
        <v>43</v>
      </c>
      <c r="B44" s="20" t="s">
        <v>125</v>
      </c>
      <c r="C44" s="20" t="s">
        <v>49</v>
      </c>
      <c r="D44" s="21" t="n">
        <v>5</v>
      </c>
      <c r="E44" s="22" t="n">
        <v>0</v>
      </c>
      <c r="F44" s="23" t="n">
        <f aca="false">IF(1&lt;$D44,0,$E44*Assumptions!$C$4*INDEX(Assumptions!$C$8:$C$12,MIN(1-$D44+1,5)))</f>
        <v>0</v>
      </c>
      <c r="G44" s="23" t="n">
        <f aca="false">IF(2&lt;$D44,0,$E44*Assumptions!$C$4*INDEX(Assumptions!$C$8:$C$12,MIN(2-$D44+1,5)))</f>
        <v>0</v>
      </c>
      <c r="H44" s="23" t="n">
        <f aca="false">IF(3&lt;$D44,0,$E44*Assumptions!$C$4*INDEX(Assumptions!$C$8:$C$12,MIN(3-$D44+1,5)))</f>
        <v>0</v>
      </c>
      <c r="I44" s="23" t="n">
        <f aca="false">IF(4&lt;$D44,0,$E44*Assumptions!$C$4*INDEX(Assumptions!$C$8:$C$12,MIN(4-$D44+1,5)))</f>
        <v>0</v>
      </c>
      <c r="J44" s="23" t="n">
        <f aca="false">IF(5&lt;$D44,0,$E44*Assumptions!$C$4*INDEX(Assumptions!$C$8:$C$12,MIN(5-$D44+1,5)))</f>
        <v>0</v>
      </c>
    </row>
    <row r="45" customFormat="false" ht="15" hidden="false" customHeight="false" outlineLevel="0" collapsed="false">
      <c r="A45" s="24" t="n">
        <v>44</v>
      </c>
      <c r="B45" s="24" t="s">
        <v>126</v>
      </c>
      <c r="C45" s="24" t="s">
        <v>50</v>
      </c>
      <c r="D45" s="25" t="n">
        <v>1</v>
      </c>
      <c r="E45" s="26" t="n">
        <v>300000000</v>
      </c>
      <c r="F45" s="27" t="n">
        <f aca="false">IF(1&lt;$D45,0,$E45*Assumptions!$C$4*INDEX(Assumptions!$C$8:$C$12,MIN(1-$D45+1,5)))</f>
        <v>67500000</v>
      </c>
      <c r="G45" s="27" t="n">
        <f aca="false">IF(2&lt;$D45,0,$E45*Assumptions!$C$4*INDEX(Assumptions!$C$8:$C$12,MIN(2-$D45+1,5)))</f>
        <v>202500000</v>
      </c>
      <c r="H45" s="27" t="n">
        <f aca="false">IF(3&lt;$D45,0,$E45*Assumptions!$C$4*INDEX(Assumptions!$C$8:$C$12,MIN(3-$D45+1,5)))</f>
        <v>337500000</v>
      </c>
      <c r="I45" s="27" t="n">
        <f aca="false">IF(4&lt;$D45,0,$E45*Assumptions!$C$4*INDEX(Assumptions!$C$8:$C$12,MIN(4-$D45+1,5)))</f>
        <v>427500000</v>
      </c>
      <c r="J45" s="27" t="n">
        <f aca="false">IF(5&lt;$D45,0,$E45*Assumptions!$C$4*INDEX(Assumptions!$C$8:$C$12,MIN(5-$D45+1,5)))</f>
        <v>450000000</v>
      </c>
    </row>
    <row r="46" customFormat="false" ht="15" hidden="false" customHeight="false" outlineLevel="0" collapsed="false">
      <c r="A46" s="20" t="n">
        <v>45</v>
      </c>
      <c r="B46" s="20" t="s">
        <v>127</v>
      </c>
      <c r="C46" s="20" t="s">
        <v>50</v>
      </c>
      <c r="D46" s="21" t="n">
        <v>1</v>
      </c>
      <c r="E46" s="22" t="n">
        <v>40000000</v>
      </c>
      <c r="F46" s="23" t="n">
        <f aca="false">IF(1&lt;$D46,0,$E46*Assumptions!$C$4*INDEX(Assumptions!$C$8:$C$12,MIN(1-$D46+1,5)))</f>
        <v>9000000</v>
      </c>
      <c r="G46" s="23" t="n">
        <f aca="false">IF(2&lt;$D46,0,$E46*Assumptions!$C$4*INDEX(Assumptions!$C$8:$C$12,MIN(2-$D46+1,5)))</f>
        <v>27000000</v>
      </c>
      <c r="H46" s="23" t="n">
        <f aca="false">IF(3&lt;$D46,0,$E46*Assumptions!$C$4*INDEX(Assumptions!$C$8:$C$12,MIN(3-$D46+1,5)))</f>
        <v>45000000</v>
      </c>
      <c r="I46" s="23" t="n">
        <f aca="false">IF(4&lt;$D46,0,$E46*Assumptions!$C$4*INDEX(Assumptions!$C$8:$C$12,MIN(4-$D46+1,5)))</f>
        <v>57000000</v>
      </c>
      <c r="J46" s="23" t="n">
        <f aca="false">IF(5&lt;$D46,0,$E46*Assumptions!$C$4*INDEX(Assumptions!$C$8:$C$12,MIN(5-$D46+1,5)))</f>
        <v>60000000</v>
      </c>
    </row>
    <row r="47" customFormat="false" ht="15" hidden="false" customHeight="false" outlineLevel="0" collapsed="false">
      <c r="A47" s="24" t="n">
        <v>46</v>
      </c>
      <c r="B47" s="24" t="s">
        <v>128</v>
      </c>
      <c r="C47" s="24" t="s">
        <v>50</v>
      </c>
      <c r="D47" s="25" t="n">
        <v>1</v>
      </c>
      <c r="E47" s="26" t="n">
        <v>50000000</v>
      </c>
      <c r="F47" s="27" t="n">
        <f aca="false">IF(1&lt;$D47,0,$E47*Assumptions!$C$4*INDEX(Assumptions!$C$8:$C$12,MIN(1-$D47+1,5)))</f>
        <v>11250000</v>
      </c>
      <c r="G47" s="27" t="n">
        <f aca="false">IF(2&lt;$D47,0,$E47*Assumptions!$C$4*INDEX(Assumptions!$C$8:$C$12,MIN(2-$D47+1,5)))</f>
        <v>33750000</v>
      </c>
      <c r="H47" s="27" t="n">
        <f aca="false">IF(3&lt;$D47,0,$E47*Assumptions!$C$4*INDEX(Assumptions!$C$8:$C$12,MIN(3-$D47+1,5)))</f>
        <v>56250000</v>
      </c>
      <c r="I47" s="27" t="n">
        <f aca="false">IF(4&lt;$D47,0,$E47*Assumptions!$C$4*INDEX(Assumptions!$C$8:$C$12,MIN(4-$D47+1,5)))</f>
        <v>71250000</v>
      </c>
      <c r="J47" s="27" t="n">
        <f aca="false">IF(5&lt;$D47,0,$E47*Assumptions!$C$4*INDEX(Assumptions!$C$8:$C$12,MIN(5-$D47+1,5)))</f>
        <v>75000000</v>
      </c>
    </row>
    <row r="48" customFormat="false" ht="15" hidden="false" customHeight="false" outlineLevel="0" collapsed="false">
      <c r="A48" s="20" t="n">
        <v>47</v>
      </c>
      <c r="B48" s="20" t="s">
        <v>129</v>
      </c>
      <c r="C48" s="20" t="s">
        <v>50</v>
      </c>
      <c r="D48" s="21" t="n">
        <v>3</v>
      </c>
      <c r="E48" s="22" t="n">
        <v>20000000</v>
      </c>
      <c r="F48" s="23" t="n">
        <f aca="false">IF(1&lt;$D48,0,$E48*Assumptions!$C$4*INDEX(Assumptions!$C$8:$C$12,MIN(1-$D48+1,5)))</f>
        <v>0</v>
      </c>
      <c r="G48" s="23" t="n">
        <f aca="false">IF(2&lt;$D48,0,$E48*Assumptions!$C$4*INDEX(Assumptions!$C$8:$C$12,MIN(2-$D48+1,5)))</f>
        <v>0</v>
      </c>
      <c r="H48" s="23" t="n">
        <f aca="false">IF(3&lt;$D48,0,$E48*Assumptions!$C$4*INDEX(Assumptions!$C$8:$C$12,MIN(3-$D48+1,5)))</f>
        <v>4500000</v>
      </c>
      <c r="I48" s="23" t="n">
        <f aca="false">IF(4&lt;$D48,0,$E48*Assumptions!$C$4*INDEX(Assumptions!$C$8:$C$12,MIN(4-$D48+1,5)))</f>
        <v>13500000</v>
      </c>
      <c r="J48" s="23" t="n">
        <f aca="false">IF(5&lt;$D48,0,$E48*Assumptions!$C$4*INDEX(Assumptions!$C$8:$C$12,MIN(5-$D48+1,5)))</f>
        <v>22500000</v>
      </c>
    </row>
    <row r="49" customFormat="false" ht="15" hidden="false" customHeight="false" outlineLevel="0" collapsed="false">
      <c r="A49" s="24" t="n">
        <v>48</v>
      </c>
      <c r="B49" s="24" t="s">
        <v>130</v>
      </c>
      <c r="C49" s="24" t="s">
        <v>50</v>
      </c>
      <c r="D49" s="25" t="n">
        <v>3</v>
      </c>
      <c r="E49" s="26" t="n">
        <v>25000000</v>
      </c>
      <c r="F49" s="27" t="n">
        <f aca="false">IF(1&lt;$D49,0,$E49*Assumptions!$C$4*INDEX(Assumptions!$C$8:$C$12,MIN(1-$D49+1,5)))</f>
        <v>0</v>
      </c>
      <c r="G49" s="27" t="n">
        <f aca="false">IF(2&lt;$D49,0,$E49*Assumptions!$C$4*INDEX(Assumptions!$C$8:$C$12,MIN(2-$D49+1,5)))</f>
        <v>0</v>
      </c>
      <c r="H49" s="27" t="n">
        <f aca="false">IF(3&lt;$D49,0,$E49*Assumptions!$C$4*INDEX(Assumptions!$C$8:$C$12,MIN(3-$D49+1,5)))</f>
        <v>5625000</v>
      </c>
      <c r="I49" s="27" t="n">
        <f aca="false">IF(4&lt;$D49,0,$E49*Assumptions!$C$4*INDEX(Assumptions!$C$8:$C$12,MIN(4-$D49+1,5)))</f>
        <v>16875000</v>
      </c>
      <c r="J49" s="27" t="n">
        <f aca="false">IF(5&lt;$D49,0,$E49*Assumptions!$C$4*INDEX(Assumptions!$C$8:$C$12,MIN(5-$D49+1,5)))</f>
        <v>28125000</v>
      </c>
    </row>
    <row r="50" customFormat="false" ht="15" hidden="false" customHeight="false" outlineLevel="0" collapsed="false">
      <c r="A50" s="20" t="n">
        <v>49</v>
      </c>
      <c r="B50" s="20" t="s">
        <v>131</v>
      </c>
      <c r="C50" s="20" t="s">
        <v>50</v>
      </c>
      <c r="D50" s="21" t="n">
        <v>1</v>
      </c>
      <c r="E50" s="22" t="n">
        <v>60000000</v>
      </c>
      <c r="F50" s="23" t="n">
        <f aca="false">IF(1&lt;$D50,0,$E50*Assumptions!$C$4*INDEX(Assumptions!$C$8:$C$12,MIN(1-$D50+1,5)))</f>
        <v>13500000</v>
      </c>
      <c r="G50" s="23" t="n">
        <f aca="false">IF(2&lt;$D50,0,$E50*Assumptions!$C$4*INDEX(Assumptions!$C$8:$C$12,MIN(2-$D50+1,5)))</f>
        <v>40500000</v>
      </c>
      <c r="H50" s="23" t="n">
        <f aca="false">IF(3&lt;$D50,0,$E50*Assumptions!$C$4*INDEX(Assumptions!$C$8:$C$12,MIN(3-$D50+1,5)))</f>
        <v>67500000</v>
      </c>
      <c r="I50" s="23" t="n">
        <f aca="false">IF(4&lt;$D50,0,$E50*Assumptions!$C$4*INDEX(Assumptions!$C$8:$C$12,MIN(4-$D50+1,5)))</f>
        <v>85500000</v>
      </c>
      <c r="J50" s="23" t="n">
        <f aca="false">IF(5&lt;$D50,0,$E50*Assumptions!$C$4*INDEX(Assumptions!$C$8:$C$12,MIN(5-$D50+1,5)))</f>
        <v>90000000</v>
      </c>
    </row>
    <row r="51" customFormat="false" ht="15" hidden="false" customHeight="false" outlineLevel="0" collapsed="false">
      <c r="A51" s="24" t="n">
        <v>50</v>
      </c>
      <c r="B51" s="24" t="s">
        <v>132</v>
      </c>
      <c r="C51" s="24" t="s">
        <v>50</v>
      </c>
      <c r="D51" s="25" t="n">
        <v>3</v>
      </c>
      <c r="E51" s="26" t="n">
        <v>10000000</v>
      </c>
      <c r="F51" s="27" t="n">
        <f aca="false">IF(1&lt;$D51,0,$E51*Assumptions!$C$4*INDEX(Assumptions!$C$8:$C$12,MIN(1-$D51+1,5)))</f>
        <v>0</v>
      </c>
      <c r="G51" s="27" t="n">
        <f aca="false">IF(2&lt;$D51,0,$E51*Assumptions!$C$4*INDEX(Assumptions!$C$8:$C$12,MIN(2-$D51+1,5)))</f>
        <v>0</v>
      </c>
      <c r="H51" s="27" t="n">
        <f aca="false">IF(3&lt;$D51,0,$E51*Assumptions!$C$4*INDEX(Assumptions!$C$8:$C$12,MIN(3-$D51+1,5)))</f>
        <v>2250000</v>
      </c>
      <c r="I51" s="27" t="n">
        <f aca="false">IF(4&lt;$D51,0,$E51*Assumptions!$C$4*INDEX(Assumptions!$C$8:$C$12,MIN(4-$D51+1,5)))</f>
        <v>6750000</v>
      </c>
      <c r="J51" s="27" t="n">
        <f aca="false">IF(5&lt;$D51,0,$E51*Assumptions!$C$4*INDEX(Assumptions!$C$8:$C$12,MIN(5-$D51+1,5)))</f>
        <v>11250000</v>
      </c>
    </row>
    <row r="52" customFormat="false" ht="15" hidden="false" customHeight="false" outlineLevel="0" collapsed="false">
      <c r="A52" s="20" t="n">
        <v>51</v>
      </c>
      <c r="B52" s="20" t="s">
        <v>133</v>
      </c>
      <c r="C52" s="20" t="s">
        <v>50</v>
      </c>
      <c r="D52" s="21" t="n">
        <v>1</v>
      </c>
      <c r="E52" s="22" t="n">
        <v>15000000</v>
      </c>
      <c r="F52" s="23" t="n">
        <f aca="false">IF(1&lt;$D52,0,$E52*Assumptions!$C$4*INDEX(Assumptions!$C$8:$C$12,MIN(1-$D52+1,5)))</f>
        <v>3375000</v>
      </c>
      <c r="G52" s="23" t="n">
        <f aca="false">IF(2&lt;$D52,0,$E52*Assumptions!$C$4*INDEX(Assumptions!$C$8:$C$12,MIN(2-$D52+1,5)))</f>
        <v>10125000</v>
      </c>
      <c r="H52" s="23" t="n">
        <f aca="false">IF(3&lt;$D52,0,$E52*Assumptions!$C$4*INDEX(Assumptions!$C$8:$C$12,MIN(3-$D52+1,5)))</f>
        <v>16875000</v>
      </c>
      <c r="I52" s="23" t="n">
        <f aca="false">IF(4&lt;$D52,0,$E52*Assumptions!$C$4*INDEX(Assumptions!$C$8:$C$12,MIN(4-$D52+1,5)))</f>
        <v>21375000</v>
      </c>
      <c r="J52" s="23" t="n">
        <f aca="false">IF(5&lt;$D52,0,$E52*Assumptions!$C$4*INDEX(Assumptions!$C$8:$C$12,MIN(5-$D52+1,5)))</f>
        <v>22500000</v>
      </c>
    </row>
    <row r="53" customFormat="false" ht="15" hidden="false" customHeight="false" outlineLevel="0" collapsed="false">
      <c r="A53" s="24" t="n">
        <v>52</v>
      </c>
      <c r="B53" s="24" t="s">
        <v>134</v>
      </c>
      <c r="C53" s="24" t="s">
        <v>50</v>
      </c>
      <c r="D53" s="25" t="n">
        <v>1</v>
      </c>
      <c r="E53" s="26" t="n">
        <v>20000000</v>
      </c>
      <c r="F53" s="27" t="n">
        <f aca="false">IF(1&lt;$D53,0,$E53*Assumptions!$C$4*INDEX(Assumptions!$C$8:$C$12,MIN(1-$D53+1,5)))</f>
        <v>4500000</v>
      </c>
      <c r="G53" s="27" t="n">
        <f aca="false">IF(2&lt;$D53,0,$E53*Assumptions!$C$4*INDEX(Assumptions!$C$8:$C$12,MIN(2-$D53+1,5)))</f>
        <v>13500000</v>
      </c>
      <c r="H53" s="27" t="n">
        <f aca="false">IF(3&lt;$D53,0,$E53*Assumptions!$C$4*INDEX(Assumptions!$C$8:$C$12,MIN(3-$D53+1,5)))</f>
        <v>22500000</v>
      </c>
      <c r="I53" s="27" t="n">
        <f aca="false">IF(4&lt;$D53,0,$E53*Assumptions!$C$4*INDEX(Assumptions!$C$8:$C$12,MIN(4-$D53+1,5)))</f>
        <v>28500000</v>
      </c>
      <c r="J53" s="27" t="n">
        <f aca="false">IF(5&lt;$D53,0,$E53*Assumptions!$C$4*INDEX(Assumptions!$C$8:$C$12,MIN(5-$D53+1,5)))</f>
        <v>30000000</v>
      </c>
    </row>
    <row r="54" customFormat="false" ht="15" hidden="false" customHeight="false" outlineLevel="0" collapsed="false">
      <c r="A54" s="20" t="n">
        <v>53</v>
      </c>
      <c r="B54" s="20" t="s">
        <v>135</v>
      </c>
      <c r="C54" s="20" t="s">
        <v>50</v>
      </c>
      <c r="D54" s="21" t="n">
        <v>5</v>
      </c>
      <c r="E54" s="22" t="n">
        <v>0</v>
      </c>
      <c r="F54" s="23" t="n">
        <f aca="false">IF(1&lt;$D54,0,$E54*Assumptions!$C$4*INDEX(Assumptions!$C$8:$C$12,MIN(1-$D54+1,5)))</f>
        <v>0</v>
      </c>
      <c r="G54" s="23" t="n">
        <f aca="false">IF(2&lt;$D54,0,$E54*Assumptions!$C$4*INDEX(Assumptions!$C$8:$C$12,MIN(2-$D54+1,5)))</f>
        <v>0</v>
      </c>
      <c r="H54" s="23" t="n">
        <f aca="false">IF(3&lt;$D54,0,$E54*Assumptions!$C$4*INDEX(Assumptions!$C$8:$C$12,MIN(3-$D54+1,5)))</f>
        <v>0</v>
      </c>
      <c r="I54" s="23" t="n">
        <f aca="false">IF(4&lt;$D54,0,$E54*Assumptions!$C$4*INDEX(Assumptions!$C$8:$C$12,MIN(4-$D54+1,5)))</f>
        <v>0</v>
      </c>
      <c r="J54" s="23" t="n">
        <f aca="false">IF(5&lt;$D54,0,$E54*Assumptions!$C$4*INDEX(Assumptions!$C$8:$C$12,MIN(5-$D54+1,5)))</f>
        <v>0</v>
      </c>
    </row>
    <row r="55" customFormat="false" ht="15" hidden="false" customHeight="false" outlineLevel="0" collapsed="false">
      <c r="A55" s="24" t="n">
        <v>54</v>
      </c>
      <c r="B55" s="24" t="s">
        <v>136</v>
      </c>
      <c r="C55" s="24" t="s">
        <v>51</v>
      </c>
      <c r="D55" s="25" t="n">
        <v>3</v>
      </c>
      <c r="E55" s="26" t="n">
        <v>50000000</v>
      </c>
      <c r="F55" s="27" t="n">
        <f aca="false">IF(1&lt;$D55,0,$E55*Assumptions!$C$4*INDEX(Assumptions!$C$8:$C$12,MIN(1-$D55+1,5)))</f>
        <v>0</v>
      </c>
      <c r="G55" s="27" t="n">
        <f aca="false">IF(2&lt;$D55,0,$E55*Assumptions!$C$4*INDEX(Assumptions!$C$8:$C$12,MIN(2-$D55+1,5)))</f>
        <v>0</v>
      </c>
      <c r="H55" s="27" t="n">
        <f aca="false">IF(3&lt;$D55,0,$E55*Assumptions!$C$4*INDEX(Assumptions!$C$8:$C$12,MIN(3-$D55+1,5)))</f>
        <v>11250000</v>
      </c>
      <c r="I55" s="27" t="n">
        <f aca="false">IF(4&lt;$D55,0,$E55*Assumptions!$C$4*INDEX(Assumptions!$C$8:$C$12,MIN(4-$D55+1,5)))</f>
        <v>33750000</v>
      </c>
      <c r="J55" s="27" t="n">
        <f aca="false">IF(5&lt;$D55,0,$E55*Assumptions!$C$4*INDEX(Assumptions!$C$8:$C$12,MIN(5-$D55+1,5)))</f>
        <v>56250000</v>
      </c>
    </row>
    <row r="56" customFormat="false" ht="15" hidden="false" customHeight="false" outlineLevel="0" collapsed="false">
      <c r="A56" s="20" t="n">
        <v>55</v>
      </c>
      <c r="B56" s="20" t="s">
        <v>137</v>
      </c>
      <c r="C56" s="20" t="s">
        <v>51</v>
      </c>
      <c r="D56" s="21" t="n">
        <v>3</v>
      </c>
      <c r="E56" s="22" t="n">
        <v>40000000</v>
      </c>
      <c r="F56" s="23" t="n">
        <f aca="false">IF(1&lt;$D56,0,$E56*Assumptions!$C$4*INDEX(Assumptions!$C$8:$C$12,MIN(1-$D56+1,5)))</f>
        <v>0</v>
      </c>
      <c r="G56" s="23" t="n">
        <f aca="false">IF(2&lt;$D56,0,$E56*Assumptions!$C$4*INDEX(Assumptions!$C$8:$C$12,MIN(2-$D56+1,5)))</f>
        <v>0</v>
      </c>
      <c r="H56" s="23" t="n">
        <f aca="false">IF(3&lt;$D56,0,$E56*Assumptions!$C$4*INDEX(Assumptions!$C$8:$C$12,MIN(3-$D56+1,5)))</f>
        <v>9000000</v>
      </c>
      <c r="I56" s="23" t="n">
        <f aca="false">IF(4&lt;$D56,0,$E56*Assumptions!$C$4*INDEX(Assumptions!$C$8:$C$12,MIN(4-$D56+1,5)))</f>
        <v>27000000</v>
      </c>
      <c r="J56" s="23" t="n">
        <f aca="false">IF(5&lt;$D56,0,$E56*Assumptions!$C$4*INDEX(Assumptions!$C$8:$C$12,MIN(5-$D56+1,5)))</f>
        <v>45000000</v>
      </c>
    </row>
    <row r="57" customFormat="false" ht="15" hidden="false" customHeight="false" outlineLevel="0" collapsed="false">
      <c r="A57" s="24" t="n">
        <v>56</v>
      </c>
      <c r="B57" s="24" t="s">
        <v>138</v>
      </c>
      <c r="C57" s="24" t="s">
        <v>51</v>
      </c>
      <c r="D57" s="25" t="n">
        <v>3</v>
      </c>
      <c r="E57" s="26" t="n">
        <v>20000000</v>
      </c>
      <c r="F57" s="27" t="n">
        <f aca="false">IF(1&lt;$D57,0,$E57*Assumptions!$C$4*INDEX(Assumptions!$C$8:$C$12,MIN(1-$D57+1,5)))</f>
        <v>0</v>
      </c>
      <c r="G57" s="27" t="n">
        <f aca="false">IF(2&lt;$D57,0,$E57*Assumptions!$C$4*INDEX(Assumptions!$C$8:$C$12,MIN(2-$D57+1,5)))</f>
        <v>0</v>
      </c>
      <c r="H57" s="27" t="n">
        <f aca="false">IF(3&lt;$D57,0,$E57*Assumptions!$C$4*INDEX(Assumptions!$C$8:$C$12,MIN(3-$D57+1,5)))</f>
        <v>4500000</v>
      </c>
      <c r="I57" s="27" t="n">
        <f aca="false">IF(4&lt;$D57,0,$E57*Assumptions!$C$4*INDEX(Assumptions!$C$8:$C$12,MIN(4-$D57+1,5)))</f>
        <v>13500000</v>
      </c>
      <c r="J57" s="27" t="n">
        <f aca="false">IF(5&lt;$D57,0,$E57*Assumptions!$C$4*INDEX(Assumptions!$C$8:$C$12,MIN(5-$D57+1,5)))</f>
        <v>22500000</v>
      </c>
    </row>
    <row r="58" customFormat="false" ht="15" hidden="false" customHeight="false" outlineLevel="0" collapsed="false">
      <c r="A58" s="20" t="n">
        <v>57</v>
      </c>
      <c r="B58" s="20" t="s">
        <v>139</v>
      </c>
      <c r="C58" s="20" t="s">
        <v>51</v>
      </c>
      <c r="D58" s="21" t="n">
        <v>3</v>
      </c>
      <c r="E58" s="22" t="n">
        <v>35000000</v>
      </c>
      <c r="F58" s="23" t="n">
        <f aca="false">IF(1&lt;$D58,0,$E58*Assumptions!$C$4*INDEX(Assumptions!$C$8:$C$12,MIN(1-$D58+1,5)))</f>
        <v>0</v>
      </c>
      <c r="G58" s="23" t="n">
        <f aca="false">IF(2&lt;$D58,0,$E58*Assumptions!$C$4*INDEX(Assumptions!$C$8:$C$12,MIN(2-$D58+1,5)))</f>
        <v>0</v>
      </c>
      <c r="H58" s="23" t="n">
        <f aca="false">IF(3&lt;$D58,0,$E58*Assumptions!$C$4*INDEX(Assumptions!$C$8:$C$12,MIN(3-$D58+1,5)))</f>
        <v>7875000</v>
      </c>
      <c r="I58" s="23" t="n">
        <f aca="false">IF(4&lt;$D58,0,$E58*Assumptions!$C$4*INDEX(Assumptions!$C$8:$C$12,MIN(4-$D58+1,5)))</f>
        <v>23625000</v>
      </c>
      <c r="J58" s="23" t="n">
        <f aca="false">IF(5&lt;$D58,0,$E58*Assumptions!$C$4*INDEX(Assumptions!$C$8:$C$12,MIN(5-$D58+1,5)))</f>
        <v>39375000</v>
      </c>
    </row>
    <row r="59" customFormat="false" ht="15" hidden="false" customHeight="false" outlineLevel="0" collapsed="false">
      <c r="A59" s="24" t="n">
        <v>58</v>
      </c>
      <c r="B59" s="24" t="s">
        <v>140</v>
      </c>
      <c r="C59" s="24" t="s">
        <v>52</v>
      </c>
      <c r="D59" s="25" t="n">
        <v>4</v>
      </c>
      <c r="E59" s="26" t="n">
        <v>40000000</v>
      </c>
      <c r="F59" s="27" t="n">
        <f aca="false">IF(1&lt;$D59,0,$E59*Assumptions!$C$4*INDEX(Assumptions!$C$8:$C$12,MIN(1-$D59+1,5)))</f>
        <v>0</v>
      </c>
      <c r="G59" s="27" t="n">
        <f aca="false">IF(2&lt;$D59,0,$E59*Assumptions!$C$4*INDEX(Assumptions!$C$8:$C$12,MIN(2-$D59+1,5)))</f>
        <v>0</v>
      </c>
      <c r="H59" s="27" t="n">
        <f aca="false">IF(3&lt;$D59,0,$E59*Assumptions!$C$4*INDEX(Assumptions!$C$8:$C$12,MIN(3-$D59+1,5)))</f>
        <v>0</v>
      </c>
      <c r="I59" s="27" t="n">
        <f aca="false">IF(4&lt;$D59,0,$E59*Assumptions!$C$4*INDEX(Assumptions!$C$8:$C$12,MIN(4-$D59+1,5)))</f>
        <v>9000000</v>
      </c>
      <c r="J59" s="27" t="n">
        <f aca="false">IF(5&lt;$D59,0,$E59*Assumptions!$C$4*INDEX(Assumptions!$C$8:$C$12,MIN(5-$D59+1,5)))</f>
        <v>27000000</v>
      </c>
    </row>
    <row r="60" customFormat="false" ht="15" hidden="false" customHeight="false" outlineLevel="0" collapsed="false">
      <c r="A60" s="20" t="n">
        <v>59</v>
      </c>
      <c r="B60" s="20" t="s">
        <v>141</v>
      </c>
      <c r="C60" s="20" t="s">
        <v>52</v>
      </c>
      <c r="D60" s="21" t="n">
        <v>4</v>
      </c>
      <c r="E60" s="22" t="n">
        <v>20000000</v>
      </c>
      <c r="F60" s="23" t="n">
        <f aca="false">IF(1&lt;$D60,0,$E60*Assumptions!$C$4*INDEX(Assumptions!$C$8:$C$12,MIN(1-$D60+1,5)))</f>
        <v>0</v>
      </c>
      <c r="G60" s="23" t="n">
        <f aca="false">IF(2&lt;$D60,0,$E60*Assumptions!$C$4*INDEX(Assumptions!$C$8:$C$12,MIN(2-$D60+1,5)))</f>
        <v>0</v>
      </c>
      <c r="H60" s="23" t="n">
        <f aca="false">IF(3&lt;$D60,0,$E60*Assumptions!$C$4*INDEX(Assumptions!$C$8:$C$12,MIN(3-$D60+1,5)))</f>
        <v>0</v>
      </c>
      <c r="I60" s="23" t="n">
        <f aca="false">IF(4&lt;$D60,0,$E60*Assumptions!$C$4*INDEX(Assumptions!$C$8:$C$12,MIN(4-$D60+1,5)))</f>
        <v>4500000</v>
      </c>
      <c r="J60" s="23" t="n">
        <f aca="false">IF(5&lt;$D60,0,$E60*Assumptions!$C$4*INDEX(Assumptions!$C$8:$C$12,MIN(5-$D60+1,5)))</f>
        <v>13500000</v>
      </c>
    </row>
    <row r="61" customFormat="false" ht="15" hidden="false" customHeight="false" outlineLevel="0" collapsed="false">
      <c r="A61" s="24" t="n">
        <v>60</v>
      </c>
      <c r="B61" s="24" t="s">
        <v>142</v>
      </c>
      <c r="C61" s="24" t="s">
        <v>52</v>
      </c>
      <c r="D61" s="25" t="n">
        <v>2</v>
      </c>
      <c r="E61" s="26" t="n">
        <v>30000000</v>
      </c>
      <c r="F61" s="27" t="n">
        <f aca="false">IF(1&lt;$D61,0,$E61*Assumptions!$C$4*INDEX(Assumptions!$C$8:$C$12,MIN(1-$D61+1,5)))</f>
        <v>0</v>
      </c>
      <c r="G61" s="27" t="n">
        <f aca="false">IF(2&lt;$D61,0,$E61*Assumptions!$C$4*INDEX(Assumptions!$C$8:$C$12,MIN(2-$D61+1,5)))</f>
        <v>6750000</v>
      </c>
      <c r="H61" s="27" t="n">
        <f aca="false">IF(3&lt;$D61,0,$E61*Assumptions!$C$4*INDEX(Assumptions!$C$8:$C$12,MIN(3-$D61+1,5)))</f>
        <v>20250000</v>
      </c>
      <c r="I61" s="27" t="n">
        <f aca="false">IF(4&lt;$D61,0,$E61*Assumptions!$C$4*INDEX(Assumptions!$C$8:$C$12,MIN(4-$D61+1,5)))</f>
        <v>33750000</v>
      </c>
      <c r="J61" s="27" t="n">
        <f aca="false">IF(5&lt;$D61,0,$E61*Assumptions!$C$4*INDEX(Assumptions!$C$8:$C$12,MIN(5-$D61+1,5)))</f>
        <v>42750000</v>
      </c>
    </row>
    <row r="62" customFormat="false" ht="15" hidden="false" customHeight="false" outlineLevel="0" collapsed="false">
      <c r="A62" s="20" t="n">
        <v>61</v>
      </c>
      <c r="B62" s="20" t="s">
        <v>143</v>
      </c>
      <c r="C62" s="20" t="s">
        <v>52</v>
      </c>
      <c r="D62" s="21" t="n">
        <v>4</v>
      </c>
      <c r="E62" s="22" t="n">
        <v>25000000</v>
      </c>
      <c r="F62" s="23" t="n">
        <f aca="false">IF(1&lt;$D62,0,$E62*Assumptions!$C$4*INDEX(Assumptions!$C$8:$C$12,MIN(1-$D62+1,5)))</f>
        <v>0</v>
      </c>
      <c r="G62" s="23" t="n">
        <f aca="false">IF(2&lt;$D62,0,$E62*Assumptions!$C$4*INDEX(Assumptions!$C$8:$C$12,MIN(2-$D62+1,5)))</f>
        <v>0</v>
      </c>
      <c r="H62" s="23" t="n">
        <f aca="false">IF(3&lt;$D62,0,$E62*Assumptions!$C$4*INDEX(Assumptions!$C$8:$C$12,MIN(3-$D62+1,5)))</f>
        <v>0</v>
      </c>
      <c r="I62" s="23" t="n">
        <f aca="false">IF(4&lt;$D62,0,$E62*Assumptions!$C$4*INDEX(Assumptions!$C$8:$C$12,MIN(4-$D62+1,5)))</f>
        <v>5625000</v>
      </c>
      <c r="J62" s="23" t="n">
        <f aca="false">IF(5&lt;$D62,0,$E62*Assumptions!$C$4*INDEX(Assumptions!$C$8:$C$12,MIN(5-$D62+1,5)))</f>
        <v>16875000</v>
      </c>
    </row>
    <row r="63" customFormat="false" ht="15" hidden="false" customHeight="false" outlineLevel="0" collapsed="false">
      <c r="A63" s="24" t="n">
        <v>62</v>
      </c>
      <c r="B63" s="24" t="s">
        <v>144</v>
      </c>
      <c r="C63" s="24" t="s">
        <v>52</v>
      </c>
      <c r="D63" s="25" t="n">
        <v>5</v>
      </c>
      <c r="E63" s="26" t="n">
        <v>60000000</v>
      </c>
      <c r="F63" s="27" t="n">
        <f aca="false">IF(1&lt;$D63,0,$E63*Assumptions!$C$4*INDEX(Assumptions!$C$8:$C$12,MIN(1-$D63+1,5)))</f>
        <v>0</v>
      </c>
      <c r="G63" s="27" t="n">
        <f aca="false">IF(2&lt;$D63,0,$E63*Assumptions!$C$4*INDEX(Assumptions!$C$8:$C$12,MIN(2-$D63+1,5)))</f>
        <v>0</v>
      </c>
      <c r="H63" s="27" t="n">
        <f aca="false">IF(3&lt;$D63,0,$E63*Assumptions!$C$4*INDEX(Assumptions!$C$8:$C$12,MIN(3-$D63+1,5)))</f>
        <v>0</v>
      </c>
      <c r="I63" s="27" t="n">
        <f aca="false">IF(4&lt;$D63,0,$E63*Assumptions!$C$4*INDEX(Assumptions!$C$8:$C$12,MIN(4-$D63+1,5)))</f>
        <v>0</v>
      </c>
      <c r="J63" s="27" t="n">
        <f aca="false">IF(5&lt;$D63,0,$E63*Assumptions!$C$4*INDEX(Assumptions!$C$8:$C$12,MIN(5-$D63+1,5)))</f>
        <v>13500000</v>
      </c>
    </row>
    <row r="64" customFormat="false" ht="15" hidden="false" customHeight="false" outlineLevel="0" collapsed="false">
      <c r="A64" s="20" t="n">
        <v>63</v>
      </c>
      <c r="B64" s="20" t="s">
        <v>145</v>
      </c>
      <c r="C64" s="20" t="s">
        <v>52</v>
      </c>
      <c r="D64" s="21" t="n">
        <v>4</v>
      </c>
      <c r="E64" s="22" t="n">
        <v>35000000</v>
      </c>
      <c r="F64" s="23" t="n">
        <f aca="false">IF(1&lt;$D64,0,$E64*Assumptions!$C$4*INDEX(Assumptions!$C$8:$C$12,MIN(1-$D64+1,5)))</f>
        <v>0</v>
      </c>
      <c r="G64" s="23" t="n">
        <f aca="false">IF(2&lt;$D64,0,$E64*Assumptions!$C$4*INDEX(Assumptions!$C$8:$C$12,MIN(2-$D64+1,5)))</f>
        <v>0</v>
      </c>
      <c r="H64" s="23" t="n">
        <f aca="false">IF(3&lt;$D64,0,$E64*Assumptions!$C$4*INDEX(Assumptions!$C$8:$C$12,MIN(3-$D64+1,5)))</f>
        <v>0</v>
      </c>
      <c r="I64" s="23" t="n">
        <f aca="false">IF(4&lt;$D64,0,$E64*Assumptions!$C$4*INDEX(Assumptions!$C$8:$C$12,MIN(4-$D64+1,5)))</f>
        <v>7875000</v>
      </c>
      <c r="J64" s="23" t="n">
        <f aca="false">IF(5&lt;$D64,0,$E64*Assumptions!$C$4*INDEX(Assumptions!$C$8:$C$12,MIN(5-$D64+1,5)))</f>
        <v>23625000</v>
      </c>
    </row>
    <row r="65" customFormat="false" ht="15" hidden="false" customHeight="false" outlineLevel="0" collapsed="false">
      <c r="A65" s="24" t="n">
        <v>64</v>
      </c>
      <c r="B65" s="24" t="s">
        <v>146</v>
      </c>
      <c r="C65" s="24" t="s">
        <v>52</v>
      </c>
      <c r="D65" s="25" t="n">
        <v>2</v>
      </c>
      <c r="E65" s="26" t="n">
        <v>20000000</v>
      </c>
      <c r="F65" s="27" t="n">
        <f aca="false">IF(1&lt;$D65,0,$E65*Assumptions!$C$4*INDEX(Assumptions!$C$8:$C$12,MIN(1-$D65+1,5)))</f>
        <v>0</v>
      </c>
      <c r="G65" s="27" t="n">
        <f aca="false">IF(2&lt;$D65,0,$E65*Assumptions!$C$4*INDEX(Assumptions!$C$8:$C$12,MIN(2-$D65+1,5)))</f>
        <v>4500000</v>
      </c>
      <c r="H65" s="27" t="n">
        <f aca="false">IF(3&lt;$D65,0,$E65*Assumptions!$C$4*INDEX(Assumptions!$C$8:$C$12,MIN(3-$D65+1,5)))</f>
        <v>13500000</v>
      </c>
      <c r="I65" s="27" t="n">
        <f aca="false">IF(4&lt;$D65,0,$E65*Assumptions!$C$4*INDEX(Assumptions!$C$8:$C$12,MIN(4-$D65+1,5)))</f>
        <v>22500000</v>
      </c>
      <c r="J65" s="27" t="n">
        <f aca="false">IF(5&lt;$D65,0,$E65*Assumptions!$C$4*INDEX(Assumptions!$C$8:$C$12,MIN(5-$D65+1,5)))</f>
        <v>28500000</v>
      </c>
    </row>
    <row r="66" customFormat="false" ht="15" hidden="false" customHeight="false" outlineLevel="0" collapsed="false">
      <c r="A66" s="20" t="n">
        <v>65</v>
      </c>
      <c r="B66" s="20" t="s">
        <v>147</v>
      </c>
      <c r="C66" s="20" t="s">
        <v>53</v>
      </c>
      <c r="D66" s="21" t="n">
        <v>1</v>
      </c>
      <c r="E66" s="22" t="n">
        <v>15000000</v>
      </c>
      <c r="F66" s="23" t="n">
        <f aca="false">IF(1&lt;$D66,0,$E66*Assumptions!$C$4*INDEX(Assumptions!$C$8:$C$12,MIN(1-$D66+1,5)))</f>
        <v>3375000</v>
      </c>
      <c r="G66" s="23" t="n">
        <f aca="false">IF(2&lt;$D66,0,$E66*Assumptions!$C$4*INDEX(Assumptions!$C$8:$C$12,MIN(2-$D66+1,5)))</f>
        <v>10125000</v>
      </c>
      <c r="H66" s="23" t="n">
        <f aca="false">IF(3&lt;$D66,0,$E66*Assumptions!$C$4*INDEX(Assumptions!$C$8:$C$12,MIN(3-$D66+1,5)))</f>
        <v>16875000</v>
      </c>
      <c r="I66" s="23" t="n">
        <f aca="false">IF(4&lt;$D66,0,$E66*Assumptions!$C$4*INDEX(Assumptions!$C$8:$C$12,MIN(4-$D66+1,5)))</f>
        <v>21375000</v>
      </c>
      <c r="J66" s="23" t="n">
        <f aca="false">IF(5&lt;$D66,0,$E66*Assumptions!$C$4*INDEX(Assumptions!$C$8:$C$12,MIN(5-$D66+1,5)))</f>
        <v>22500000</v>
      </c>
    </row>
    <row r="67" customFormat="false" ht="15" hidden="false" customHeight="false" outlineLevel="0" collapsed="false">
      <c r="A67" s="24" t="n">
        <v>66</v>
      </c>
      <c r="B67" s="24" t="s">
        <v>148</v>
      </c>
      <c r="C67" s="24" t="s">
        <v>53</v>
      </c>
      <c r="D67" s="25" t="n">
        <v>2</v>
      </c>
      <c r="E67" s="26" t="n">
        <v>40000000</v>
      </c>
      <c r="F67" s="27" t="n">
        <f aca="false">IF(1&lt;$D67,0,$E67*Assumptions!$C$4*INDEX(Assumptions!$C$8:$C$12,MIN(1-$D67+1,5)))</f>
        <v>0</v>
      </c>
      <c r="G67" s="27" t="n">
        <f aca="false">IF(2&lt;$D67,0,$E67*Assumptions!$C$4*INDEX(Assumptions!$C$8:$C$12,MIN(2-$D67+1,5)))</f>
        <v>9000000</v>
      </c>
      <c r="H67" s="27" t="n">
        <f aca="false">IF(3&lt;$D67,0,$E67*Assumptions!$C$4*INDEX(Assumptions!$C$8:$C$12,MIN(3-$D67+1,5)))</f>
        <v>27000000</v>
      </c>
      <c r="I67" s="27" t="n">
        <f aca="false">IF(4&lt;$D67,0,$E67*Assumptions!$C$4*INDEX(Assumptions!$C$8:$C$12,MIN(4-$D67+1,5)))</f>
        <v>45000000</v>
      </c>
      <c r="J67" s="27" t="n">
        <f aca="false">IF(5&lt;$D67,0,$E67*Assumptions!$C$4*INDEX(Assumptions!$C$8:$C$12,MIN(5-$D67+1,5)))</f>
        <v>57000000</v>
      </c>
    </row>
    <row r="68" customFormat="false" ht="15" hidden="false" customHeight="false" outlineLevel="0" collapsed="false">
      <c r="A68" s="20" t="n">
        <v>67</v>
      </c>
      <c r="B68" s="20" t="s">
        <v>149</v>
      </c>
      <c r="C68" s="20" t="s">
        <v>53</v>
      </c>
      <c r="D68" s="21" t="n">
        <v>2</v>
      </c>
      <c r="E68" s="22" t="n">
        <v>30000000</v>
      </c>
      <c r="F68" s="23" t="n">
        <f aca="false">IF(1&lt;$D68,0,$E68*Assumptions!$C$4*INDEX(Assumptions!$C$8:$C$12,MIN(1-$D68+1,5)))</f>
        <v>0</v>
      </c>
      <c r="G68" s="23" t="n">
        <f aca="false">IF(2&lt;$D68,0,$E68*Assumptions!$C$4*INDEX(Assumptions!$C$8:$C$12,MIN(2-$D68+1,5)))</f>
        <v>6750000</v>
      </c>
      <c r="H68" s="23" t="n">
        <f aca="false">IF(3&lt;$D68,0,$E68*Assumptions!$C$4*INDEX(Assumptions!$C$8:$C$12,MIN(3-$D68+1,5)))</f>
        <v>20250000</v>
      </c>
      <c r="I68" s="23" t="n">
        <f aca="false">IF(4&lt;$D68,0,$E68*Assumptions!$C$4*INDEX(Assumptions!$C$8:$C$12,MIN(4-$D68+1,5)))</f>
        <v>33750000</v>
      </c>
      <c r="J68" s="23" t="n">
        <f aca="false">IF(5&lt;$D68,0,$E68*Assumptions!$C$4*INDEX(Assumptions!$C$8:$C$12,MIN(5-$D68+1,5)))</f>
        <v>42750000</v>
      </c>
    </row>
    <row r="69" customFormat="false" ht="15" hidden="false" customHeight="false" outlineLevel="0" collapsed="false">
      <c r="A69" s="24" t="n">
        <v>68</v>
      </c>
      <c r="B69" s="24" t="s">
        <v>150</v>
      </c>
      <c r="C69" s="24" t="s">
        <v>54</v>
      </c>
      <c r="D69" s="25" t="n">
        <v>3</v>
      </c>
      <c r="E69" s="26" t="n">
        <v>20000000</v>
      </c>
      <c r="F69" s="27" t="n">
        <f aca="false">IF(1&lt;$D69,0,$E69*Assumptions!$C$4*INDEX(Assumptions!$C$8:$C$12,MIN(1-$D69+1,5)))</f>
        <v>0</v>
      </c>
      <c r="G69" s="27" t="n">
        <f aca="false">IF(2&lt;$D69,0,$E69*Assumptions!$C$4*INDEX(Assumptions!$C$8:$C$12,MIN(2-$D69+1,5)))</f>
        <v>0</v>
      </c>
      <c r="H69" s="27" t="n">
        <f aca="false">IF(3&lt;$D69,0,$E69*Assumptions!$C$4*INDEX(Assumptions!$C$8:$C$12,MIN(3-$D69+1,5)))</f>
        <v>4500000</v>
      </c>
      <c r="I69" s="27" t="n">
        <f aca="false">IF(4&lt;$D69,0,$E69*Assumptions!$C$4*INDEX(Assumptions!$C$8:$C$12,MIN(4-$D69+1,5)))</f>
        <v>13500000</v>
      </c>
      <c r="J69" s="27" t="n">
        <f aca="false">IF(5&lt;$D69,0,$E69*Assumptions!$C$4*INDEX(Assumptions!$C$8:$C$12,MIN(5-$D69+1,5)))</f>
        <v>22500000</v>
      </c>
    </row>
    <row r="70" customFormat="false" ht="15" hidden="false" customHeight="false" outlineLevel="0" collapsed="false">
      <c r="A70" s="20" t="n">
        <v>69</v>
      </c>
      <c r="B70" s="20" t="s">
        <v>151</v>
      </c>
      <c r="C70" s="20" t="s">
        <v>54</v>
      </c>
      <c r="D70" s="21" t="n">
        <v>3</v>
      </c>
      <c r="E70" s="22" t="n">
        <v>15000000</v>
      </c>
      <c r="F70" s="23" t="n">
        <f aca="false">IF(1&lt;$D70,0,$E70*Assumptions!$C$4*INDEX(Assumptions!$C$8:$C$12,MIN(1-$D70+1,5)))</f>
        <v>0</v>
      </c>
      <c r="G70" s="23" t="n">
        <f aca="false">IF(2&lt;$D70,0,$E70*Assumptions!$C$4*INDEX(Assumptions!$C$8:$C$12,MIN(2-$D70+1,5)))</f>
        <v>0</v>
      </c>
      <c r="H70" s="23" t="n">
        <f aca="false">IF(3&lt;$D70,0,$E70*Assumptions!$C$4*INDEX(Assumptions!$C$8:$C$12,MIN(3-$D70+1,5)))</f>
        <v>3375000</v>
      </c>
      <c r="I70" s="23" t="n">
        <f aca="false">IF(4&lt;$D70,0,$E70*Assumptions!$C$4*INDEX(Assumptions!$C$8:$C$12,MIN(4-$D70+1,5)))</f>
        <v>10125000</v>
      </c>
      <c r="J70" s="23" t="n">
        <f aca="false">IF(5&lt;$D70,0,$E70*Assumptions!$C$4*INDEX(Assumptions!$C$8:$C$12,MIN(5-$D70+1,5)))</f>
        <v>16875000</v>
      </c>
    </row>
    <row r="71" customFormat="false" ht="15" hidden="false" customHeight="false" outlineLevel="0" collapsed="false">
      <c r="A71" s="24" t="n">
        <v>70</v>
      </c>
      <c r="B71" s="24" t="s">
        <v>152</v>
      </c>
      <c r="C71" s="24" t="s">
        <v>54</v>
      </c>
      <c r="D71" s="25" t="n">
        <v>4</v>
      </c>
      <c r="E71" s="26" t="n">
        <v>10000000</v>
      </c>
      <c r="F71" s="27" t="n">
        <f aca="false">IF(1&lt;$D71,0,$E71*Assumptions!$C$4*INDEX(Assumptions!$C$8:$C$12,MIN(1-$D71+1,5)))</f>
        <v>0</v>
      </c>
      <c r="G71" s="27" t="n">
        <f aca="false">IF(2&lt;$D71,0,$E71*Assumptions!$C$4*INDEX(Assumptions!$C$8:$C$12,MIN(2-$D71+1,5)))</f>
        <v>0</v>
      </c>
      <c r="H71" s="27" t="n">
        <f aca="false">IF(3&lt;$D71,0,$E71*Assumptions!$C$4*INDEX(Assumptions!$C$8:$C$12,MIN(3-$D71+1,5)))</f>
        <v>0</v>
      </c>
      <c r="I71" s="27" t="n">
        <f aca="false">IF(4&lt;$D71,0,$E71*Assumptions!$C$4*INDEX(Assumptions!$C$8:$C$12,MIN(4-$D71+1,5)))</f>
        <v>2250000</v>
      </c>
      <c r="J71" s="27" t="n">
        <f aca="false">IF(5&lt;$D71,0,$E71*Assumptions!$C$4*INDEX(Assumptions!$C$8:$C$12,MIN(5-$D71+1,5)))</f>
        <v>6750000</v>
      </c>
    </row>
    <row r="72" customFormat="false" ht="15" hidden="false" customHeight="false" outlineLevel="0" collapsed="false">
      <c r="A72" s="20" t="n">
        <v>71</v>
      </c>
      <c r="B72" s="20" t="s">
        <v>153</v>
      </c>
      <c r="C72" s="20" t="s">
        <v>54</v>
      </c>
      <c r="D72" s="21" t="n">
        <v>4</v>
      </c>
      <c r="E72" s="22" t="n">
        <v>20000000</v>
      </c>
      <c r="F72" s="23" t="n">
        <f aca="false">IF(1&lt;$D72,0,$E72*Assumptions!$C$4*INDEX(Assumptions!$C$8:$C$12,MIN(1-$D72+1,5)))</f>
        <v>0</v>
      </c>
      <c r="G72" s="23" t="n">
        <f aca="false">IF(2&lt;$D72,0,$E72*Assumptions!$C$4*INDEX(Assumptions!$C$8:$C$12,MIN(2-$D72+1,5)))</f>
        <v>0</v>
      </c>
      <c r="H72" s="23" t="n">
        <f aca="false">IF(3&lt;$D72,0,$E72*Assumptions!$C$4*INDEX(Assumptions!$C$8:$C$12,MIN(3-$D72+1,5)))</f>
        <v>0</v>
      </c>
      <c r="I72" s="23" t="n">
        <f aca="false">IF(4&lt;$D72,0,$E72*Assumptions!$C$4*INDEX(Assumptions!$C$8:$C$12,MIN(4-$D72+1,5)))</f>
        <v>4500000</v>
      </c>
      <c r="J72" s="23" t="n">
        <f aca="false">IF(5&lt;$D72,0,$E72*Assumptions!$C$4*INDEX(Assumptions!$C$8:$C$12,MIN(5-$D72+1,5)))</f>
        <v>13500000</v>
      </c>
    </row>
    <row r="73" customFormat="false" ht="15" hidden="false" customHeight="false" outlineLevel="0" collapsed="false">
      <c r="A73" s="24" t="n">
        <v>72</v>
      </c>
      <c r="B73" s="24" t="s">
        <v>154</v>
      </c>
      <c r="C73" s="24" t="s">
        <v>54</v>
      </c>
      <c r="D73" s="25" t="n">
        <v>4</v>
      </c>
      <c r="E73" s="26" t="n">
        <v>15000000</v>
      </c>
      <c r="F73" s="27" t="n">
        <f aca="false">IF(1&lt;$D73,0,$E73*Assumptions!$C$4*INDEX(Assumptions!$C$8:$C$12,MIN(1-$D73+1,5)))</f>
        <v>0</v>
      </c>
      <c r="G73" s="27" t="n">
        <f aca="false">IF(2&lt;$D73,0,$E73*Assumptions!$C$4*INDEX(Assumptions!$C$8:$C$12,MIN(2-$D73+1,5)))</f>
        <v>0</v>
      </c>
      <c r="H73" s="27" t="n">
        <f aca="false">IF(3&lt;$D73,0,$E73*Assumptions!$C$4*INDEX(Assumptions!$C$8:$C$12,MIN(3-$D73+1,5)))</f>
        <v>0</v>
      </c>
      <c r="I73" s="27" t="n">
        <f aca="false">IF(4&lt;$D73,0,$E73*Assumptions!$C$4*INDEX(Assumptions!$C$8:$C$12,MIN(4-$D73+1,5)))</f>
        <v>3375000</v>
      </c>
      <c r="J73" s="27" t="n">
        <f aca="false">IF(5&lt;$D73,0,$E73*Assumptions!$C$4*INDEX(Assumptions!$C$8:$C$12,MIN(5-$D73+1,5)))</f>
        <v>10125000</v>
      </c>
    </row>
    <row r="74" customFormat="false" ht="15" hidden="false" customHeight="false" outlineLevel="0" collapsed="false">
      <c r="A74" s="20" t="n">
        <v>73</v>
      </c>
      <c r="B74" s="20" t="s">
        <v>155</v>
      </c>
      <c r="C74" s="20" t="s">
        <v>54</v>
      </c>
      <c r="D74" s="21" t="n">
        <v>4</v>
      </c>
      <c r="E74" s="22" t="n">
        <v>25000000</v>
      </c>
      <c r="F74" s="23" t="n">
        <f aca="false">IF(1&lt;$D74,0,$E74*Assumptions!$C$4*INDEX(Assumptions!$C$8:$C$12,MIN(1-$D74+1,5)))</f>
        <v>0</v>
      </c>
      <c r="G74" s="23" t="n">
        <f aca="false">IF(2&lt;$D74,0,$E74*Assumptions!$C$4*INDEX(Assumptions!$C$8:$C$12,MIN(2-$D74+1,5)))</f>
        <v>0</v>
      </c>
      <c r="H74" s="23" t="n">
        <f aca="false">IF(3&lt;$D74,0,$E74*Assumptions!$C$4*INDEX(Assumptions!$C$8:$C$12,MIN(3-$D74+1,5)))</f>
        <v>0</v>
      </c>
      <c r="I74" s="23" t="n">
        <f aca="false">IF(4&lt;$D74,0,$E74*Assumptions!$C$4*INDEX(Assumptions!$C$8:$C$12,MIN(4-$D74+1,5)))</f>
        <v>5625000</v>
      </c>
      <c r="J74" s="23" t="n">
        <f aca="false">IF(5&lt;$D74,0,$E74*Assumptions!$C$4*INDEX(Assumptions!$C$8:$C$12,MIN(5-$D74+1,5)))</f>
        <v>16875000</v>
      </c>
    </row>
    <row r="75" customFormat="false" ht="15" hidden="false" customHeight="false" outlineLevel="0" collapsed="false">
      <c r="A75" s="24" t="n">
        <v>74</v>
      </c>
      <c r="B75" s="24" t="s">
        <v>156</v>
      </c>
      <c r="C75" s="24" t="s">
        <v>54</v>
      </c>
      <c r="D75" s="25" t="n">
        <v>3</v>
      </c>
      <c r="E75" s="26" t="n">
        <v>15000000</v>
      </c>
      <c r="F75" s="27" t="n">
        <f aca="false">IF(1&lt;$D75,0,$E75*Assumptions!$C$4*INDEX(Assumptions!$C$8:$C$12,MIN(1-$D75+1,5)))</f>
        <v>0</v>
      </c>
      <c r="G75" s="27" t="n">
        <f aca="false">IF(2&lt;$D75,0,$E75*Assumptions!$C$4*INDEX(Assumptions!$C$8:$C$12,MIN(2-$D75+1,5)))</f>
        <v>0</v>
      </c>
      <c r="H75" s="27" t="n">
        <f aca="false">IF(3&lt;$D75,0,$E75*Assumptions!$C$4*INDEX(Assumptions!$C$8:$C$12,MIN(3-$D75+1,5)))</f>
        <v>3375000</v>
      </c>
      <c r="I75" s="27" t="n">
        <f aca="false">IF(4&lt;$D75,0,$E75*Assumptions!$C$4*INDEX(Assumptions!$C$8:$C$12,MIN(4-$D75+1,5)))</f>
        <v>10125000</v>
      </c>
      <c r="J75" s="27" t="n">
        <f aca="false">IF(5&lt;$D75,0,$E75*Assumptions!$C$4*INDEX(Assumptions!$C$8:$C$12,MIN(5-$D75+1,5)))</f>
        <v>16875000</v>
      </c>
    </row>
    <row r="76" customFormat="false" ht="15" hidden="false" customHeight="false" outlineLevel="0" collapsed="false">
      <c r="A76" s="20" t="n">
        <v>75</v>
      </c>
      <c r="B76" s="20" t="s">
        <v>157</v>
      </c>
      <c r="C76" s="20" t="s">
        <v>54</v>
      </c>
      <c r="D76" s="21" t="n">
        <v>3</v>
      </c>
      <c r="E76" s="22" t="n">
        <v>20000000</v>
      </c>
      <c r="F76" s="23" t="n">
        <f aca="false">IF(1&lt;$D76,0,$E76*Assumptions!$C$4*INDEX(Assumptions!$C$8:$C$12,MIN(1-$D76+1,5)))</f>
        <v>0</v>
      </c>
      <c r="G76" s="23" t="n">
        <f aca="false">IF(2&lt;$D76,0,$E76*Assumptions!$C$4*INDEX(Assumptions!$C$8:$C$12,MIN(2-$D76+1,5)))</f>
        <v>0</v>
      </c>
      <c r="H76" s="23" t="n">
        <f aca="false">IF(3&lt;$D76,0,$E76*Assumptions!$C$4*INDEX(Assumptions!$C$8:$C$12,MIN(3-$D76+1,5)))</f>
        <v>4500000</v>
      </c>
      <c r="I76" s="23" t="n">
        <f aca="false">IF(4&lt;$D76,0,$E76*Assumptions!$C$4*INDEX(Assumptions!$C$8:$C$12,MIN(4-$D76+1,5)))</f>
        <v>13500000</v>
      </c>
      <c r="J76" s="23" t="n">
        <f aca="false">IF(5&lt;$D76,0,$E76*Assumptions!$C$4*INDEX(Assumptions!$C$8:$C$12,MIN(5-$D76+1,5)))</f>
        <v>22500000</v>
      </c>
    </row>
    <row r="77" customFormat="false" ht="15" hidden="false" customHeight="false" outlineLevel="0" collapsed="false">
      <c r="A77" s="24" t="n">
        <v>76</v>
      </c>
      <c r="B77" s="24" t="s">
        <v>158</v>
      </c>
      <c r="C77" s="24" t="s">
        <v>55</v>
      </c>
      <c r="D77" s="25" t="n">
        <v>2</v>
      </c>
      <c r="E77" s="26" t="n">
        <v>120000000</v>
      </c>
      <c r="F77" s="27" t="n">
        <f aca="false">IF(1&lt;$D77,0,$E77*Assumptions!$C$4*INDEX(Assumptions!$C$8:$C$12,MIN(1-$D77+1,5)))</f>
        <v>0</v>
      </c>
      <c r="G77" s="27" t="n">
        <f aca="false">IF(2&lt;$D77,0,$E77*Assumptions!$C$4*INDEX(Assumptions!$C$8:$C$12,MIN(2-$D77+1,5)))</f>
        <v>27000000</v>
      </c>
      <c r="H77" s="27" t="n">
        <f aca="false">IF(3&lt;$D77,0,$E77*Assumptions!$C$4*INDEX(Assumptions!$C$8:$C$12,MIN(3-$D77+1,5)))</f>
        <v>81000000</v>
      </c>
      <c r="I77" s="27" t="n">
        <f aca="false">IF(4&lt;$D77,0,$E77*Assumptions!$C$4*INDEX(Assumptions!$C$8:$C$12,MIN(4-$D77+1,5)))</f>
        <v>135000000</v>
      </c>
      <c r="J77" s="27" t="n">
        <f aca="false">IF(5&lt;$D77,0,$E77*Assumptions!$C$4*INDEX(Assumptions!$C$8:$C$12,MIN(5-$D77+1,5)))</f>
        <v>171000000</v>
      </c>
    </row>
    <row r="78" customFormat="false" ht="15" hidden="false" customHeight="false" outlineLevel="0" collapsed="false">
      <c r="A78" s="20" t="n">
        <v>77</v>
      </c>
      <c r="B78" s="20" t="s">
        <v>159</v>
      </c>
      <c r="C78" s="20" t="s">
        <v>55</v>
      </c>
      <c r="D78" s="21" t="n">
        <v>2</v>
      </c>
      <c r="E78" s="22" t="n">
        <v>70000000</v>
      </c>
      <c r="F78" s="23" t="n">
        <f aca="false">IF(1&lt;$D78,0,$E78*Assumptions!$C$4*INDEX(Assumptions!$C$8:$C$12,MIN(1-$D78+1,5)))</f>
        <v>0</v>
      </c>
      <c r="G78" s="23" t="n">
        <f aca="false">IF(2&lt;$D78,0,$E78*Assumptions!$C$4*INDEX(Assumptions!$C$8:$C$12,MIN(2-$D78+1,5)))</f>
        <v>15750000</v>
      </c>
      <c r="H78" s="23" t="n">
        <f aca="false">IF(3&lt;$D78,0,$E78*Assumptions!$C$4*INDEX(Assumptions!$C$8:$C$12,MIN(3-$D78+1,5)))</f>
        <v>47250000</v>
      </c>
      <c r="I78" s="23" t="n">
        <f aca="false">IF(4&lt;$D78,0,$E78*Assumptions!$C$4*INDEX(Assumptions!$C$8:$C$12,MIN(4-$D78+1,5)))</f>
        <v>78750000</v>
      </c>
      <c r="J78" s="23" t="n">
        <f aca="false">IF(5&lt;$D78,0,$E78*Assumptions!$C$4*INDEX(Assumptions!$C$8:$C$12,MIN(5-$D78+1,5)))</f>
        <v>99750000</v>
      </c>
    </row>
    <row r="79" customFormat="false" ht="15" hidden="false" customHeight="false" outlineLevel="0" collapsed="false">
      <c r="A79" s="24" t="n">
        <v>78</v>
      </c>
      <c r="B79" s="24" t="s">
        <v>160</v>
      </c>
      <c r="C79" s="24" t="s">
        <v>55</v>
      </c>
      <c r="D79" s="25" t="n">
        <v>2</v>
      </c>
      <c r="E79" s="26" t="n">
        <v>40000000</v>
      </c>
      <c r="F79" s="27" t="n">
        <f aca="false">IF(1&lt;$D79,0,$E79*Assumptions!$C$4*INDEX(Assumptions!$C$8:$C$12,MIN(1-$D79+1,5)))</f>
        <v>0</v>
      </c>
      <c r="G79" s="27" t="n">
        <f aca="false">IF(2&lt;$D79,0,$E79*Assumptions!$C$4*INDEX(Assumptions!$C$8:$C$12,MIN(2-$D79+1,5)))</f>
        <v>9000000</v>
      </c>
      <c r="H79" s="27" t="n">
        <f aca="false">IF(3&lt;$D79,0,$E79*Assumptions!$C$4*INDEX(Assumptions!$C$8:$C$12,MIN(3-$D79+1,5)))</f>
        <v>27000000</v>
      </c>
      <c r="I79" s="27" t="n">
        <f aca="false">IF(4&lt;$D79,0,$E79*Assumptions!$C$4*INDEX(Assumptions!$C$8:$C$12,MIN(4-$D79+1,5)))</f>
        <v>45000000</v>
      </c>
      <c r="J79" s="27" t="n">
        <f aca="false">IF(5&lt;$D79,0,$E79*Assumptions!$C$4*INDEX(Assumptions!$C$8:$C$12,MIN(5-$D79+1,5)))</f>
        <v>57000000</v>
      </c>
    </row>
    <row r="80" customFormat="false" ht="15" hidden="false" customHeight="false" outlineLevel="0" collapsed="false">
      <c r="A80" s="20" t="n">
        <v>79</v>
      </c>
      <c r="B80" s="20" t="s">
        <v>161</v>
      </c>
      <c r="C80" s="20" t="s">
        <v>55</v>
      </c>
      <c r="D80" s="21" t="n">
        <v>5</v>
      </c>
      <c r="E80" s="22" t="n">
        <v>0</v>
      </c>
      <c r="F80" s="23" t="n">
        <f aca="false">IF(1&lt;$D80,0,$E80*Assumptions!$C$4*INDEX(Assumptions!$C$8:$C$12,MIN(1-$D80+1,5)))</f>
        <v>0</v>
      </c>
      <c r="G80" s="23" t="n">
        <f aca="false">IF(2&lt;$D80,0,$E80*Assumptions!$C$4*INDEX(Assumptions!$C$8:$C$12,MIN(2-$D80+1,5)))</f>
        <v>0</v>
      </c>
      <c r="H80" s="23" t="n">
        <f aca="false">IF(3&lt;$D80,0,$E80*Assumptions!$C$4*INDEX(Assumptions!$C$8:$C$12,MIN(3-$D80+1,5)))</f>
        <v>0</v>
      </c>
      <c r="I80" s="23" t="n">
        <f aca="false">IF(4&lt;$D80,0,$E80*Assumptions!$C$4*INDEX(Assumptions!$C$8:$C$12,MIN(4-$D80+1,5)))</f>
        <v>0</v>
      </c>
      <c r="J80" s="23" t="n">
        <f aca="false">IF(5&lt;$D80,0,$E80*Assumptions!$C$4*INDEX(Assumptions!$C$8:$C$12,MIN(5-$D80+1,5)))</f>
        <v>0</v>
      </c>
    </row>
    <row r="81" customFormat="false" ht="15" hidden="false" customHeight="false" outlineLevel="0" collapsed="false">
      <c r="A81" s="24" t="n">
        <v>80</v>
      </c>
      <c r="B81" s="24" t="s">
        <v>162</v>
      </c>
      <c r="C81" s="24" t="s">
        <v>55</v>
      </c>
      <c r="D81" s="25" t="n">
        <v>2</v>
      </c>
      <c r="E81" s="26" t="n">
        <v>50000000</v>
      </c>
      <c r="F81" s="27" t="n">
        <f aca="false">IF(1&lt;$D81,0,$E81*Assumptions!$C$4*INDEX(Assumptions!$C$8:$C$12,MIN(1-$D81+1,5)))</f>
        <v>0</v>
      </c>
      <c r="G81" s="27" t="n">
        <f aca="false">IF(2&lt;$D81,0,$E81*Assumptions!$C$4*INDEX(Assumptions!$C$8:$C$12,MIN(2-$D81+1,5)))</f>
        <v>11250000</v>
      </c>
      <c r="H81" s="27" t="n">
        <f aca="false">IF(3&lt;$D81,0,$E81*Assumptions!$C$4*INDEX(Assumptions!$C$8:$C$12,MIN(3-$D81+1,5)))</f>
        <v>33750000</v>
      </c>
      <c r="I81" s="27" t="n">
        <f aca="false">IF(4&lt;$D81,0,$E81*Assumptions!$C$4*INDEX(Assumptions!$C$8:$C$12,MIN(4-$D81+1,5)))</f>
        <v>56250000</v>
      </c>
      <c r="J81" s="27" t="n">
        <f aca="false">IF(5&lt;$D81,0,$E81*Assumptions!$C$4*INDEX(Assumptions!$C$8:$C$12,MIN(5-$D81+1,5)))</f>
        <v>71250000</v>
      </c>
    </row>
    <row r="82" customFormat="false" ht="15" hidden="false" customHeight="false" outlineLevel="0" collapsed="false">
      <c r="A82" s="20" t="n">
        <v>81</v>
      </c>
      <c r="B82" s="20" t="s">
        <v>163</v>
      </c>
      <c r="C82" s="20" t="s">
        <v>56</v>
      </c>
      <c r="D82" s="21" t="n">
        <v>4</v>
      </c>
      <c r="E82" s="22" t="n">
        <v>30000000</v>
      </c>
      <c r="F82" s="23" t="n">
        <f aca="false">IF(1&lt;$D82,0,$E82*Assumptions!$C$4*INDEX(Assumptions!$C$8:$C$12,MIN(1-$D82+1,5)))</f>
        <v>0</v>
      </c>
      <c r="G82" s="23" t="n">
        <f aca="false">IF(2&lt;$D82,0,$E82*Assumptions!$C$4*INDEX(Assumptions!$C$8:$C$12,MIN(2-$D82+1,5)))</f>
        <v>0</v>
      </c>
      <c r="H82" s="23" t="n">
        <f aca="false">IF(3&lt;$D82,0,$E82*Assumptions!$C$4*INDEX(Assumptions!$C$8:$C$12,MIN(3-$D82+1,5)))</f>
        <v>0</v>
      </c>
      <c r="I82" s="23" t="n">
        <f aca="false">IF(4&lt;$D82,0,$E82*Assumptions!$C$4*INDEX(Assumptions!$C$8:$C$12,MIN(4-$D82+1,5)))</f>
        <v>6750000</v>
      </c>
      <c r="J82" s="23" t="n">
        <f aca="false">IF(5&lt;$D82,0,$E82*Assumptions!$C$4*INDEX(Assumptions!$C$8:$C$12,MIN(5-$D82+1,5)))</f>
        <v>20250000</v>
      </c>
    </row>
    <row r="83" customFormat="false" ht="15" hidden="false" customHeight="false" outlineLevel="0" collapsed="false">
      <c r="A83" s="24" t="n">
        <v>82</v>
      </c>
      <c r="B83" s="24" t="s">
        <v>164</v>
      </c>
      <c r="C83" s="24" t="s">
        <v>56</v>
      </c>
      <c r="D83" s="25" t="n">
        <v>5</v>
      </c>
      <c r="E83" s="26" t="n">
        <v>0</v>
      </c>
      <c r="F83" s="27" t="n">
        <f aca="false">IF(1&lt;$D83,0,$E83*Assumptions!$C$4*INDEX(Assumptions!$C$8:$C$12,MIN(1-$D83+1,5)))</f>
        <v>0</v>
      </c>
      <c r="G83" s="27" t="n">
        <f aca="false">IF(2&lt;$D83,0,$E83*Assumptions!$C$4*INDEX(Assumptions!$C$8:$C$12,MIN(2-$D83+1,5)))</f>
        <v>0</v>
      </c>
      <c r="H83" s="27" t="n">
        <f aca="false">IF(3&lt;$D83,0,$E83*Assumptions!$C$4*INDEX(Assumptions!$C$8:$C$12,MIN(3-$D83+1,5)))</f>
        <v>0</v>
      </c>
      <c r="I83" s="27" t="n">
        <f aca="false">IF(4&lt;$D83,0,$E83*Assumptions!$C$4*INDEX(Assumptions!$C$8:$C$12,MIN(4-$D83+1,5)))</f>
        <v>0</v>
      </c>
      <c r="J83" s="27" t="n">
        <f aca="false">IF(5&lt;$D83,0,$E83*Assumptions!$C$4*INDEX(Assumptions!$C$8:$C$12,MIN(5-$D83+1,5)))</f>
        <v>0</v>
      </c>
    </row>
    <row r="84" customFormat="false" ht="15" hidden="false" customHeight="false" outlineLevel="0" collapsed="false">
      <c r="A84" s="20" t="n">
        <v>83</v>
      </c>
      <c r="B84" s="20" t="s">
        <v>165</v>
      </c>
      <c r="C84" s="20" t="s">
        <v>56</v>
      </c>
      <c r="D84" s="21" t="n">
        <v>4</v>
      </c>
      <c r="E84" s="22" t="n">
        <v>35000000</v>
      </c>
      <c r="F84" s="23" t="n">
        <f aca="false">IF(1&lt;$D84,0,$E84*Assumptions!$C$4*INDEX(Assumptions!$C$8:$C$12,MIN(1-$D84+1,5)))</f>
        <v>0</v>
      </c>
      <c r="G84" s="23" t="n">
        <f aca="false">IF(2&lt;$D84,0,$E84*Assumptions!$C$4*INDEX(Assumptions!$C$8:$C$12,MIN(2-$D84+1,5)))</f>
        <v>0</v>
      </c>
      <c r="H84" s="23" t="n">
        <f aca="false">IF(3&lt;$D84,0,$E84*Assumptions!$C$4*INDEX(Assumptions!$C$8:$C$12,MIN(3-$D84+1,5)))</f>
        <v>0</v>
      </c>
      <c r="I84" s="23" t="n">
        <f aca="false">IF(4&lt;$D84,0,$E84*Assumptions!$C$4*INDEX(Assumptions!$C$8:$C$12,MIN(4-$D84+1,5)))</f>
        <v>7875000</v>
      </c>
      <c r="J84" s="23" t="n">
        <f aca="false">IF(5&lt;$D84,0,$E84*Assumptions!$C$4*INDEX(Assumptions!$C$8:$C$12,MIN(5-$D84+1,5)))</f>
        <v>23625000</v>
      </c>
    </row>
    <row r="85" customFormat="false" ht="15" hidden="false" customHeight="false" outlineLevel="0" collapsed="false">
      <c r="A85" s="24" t="n">
        <v>84</v>
      </c>
      <c r="B85" s="24" t="s">
        <v>166</v>
      </c>
      <c r="C85" s="24" t="s">
        <v>56</v>
      </c>
      <c r="D85" s="25" t="n">
        <v>4</v>
      </c>
      <c r="E85" s="26" t="n">
        <v>25000000</v>
      </c>
      <c r="F85" s="27" t="n">
        <f aca="false">IF(1&lt;$D85,0,$E85*Assumptions!$C$4*INDEX(Assumptions!$C$8:$C$12,MIN(1-$D85+1,5)))</f>
        <v>0</v>
      </c>
      <c r="G85" s="27" t="n">
        <f aca="false">IF(2&lt;$D85,0,$E85*Assumptions!$C$4*INDEX(Assumptions!$C$8:$C$12,MIN(2-$D85+1,5)))</f>
        <v>0</v>
      </c>
      <c r="H85" s="27" t="n">
        <f aca="false">IF(3&lt;$D85,0,$E85*Assumptions!$C$4*INDEX(Assumptions!$C$8:$C$12,MIN(3-$D85+1,5)))</f>
        <v>0</v>
      </c>
      <c r="I85" s="27" t="n">
        <f aca="false">IF(4&lt;$D85,0,$E85*Assumptions!$C$4*INDEX(Assumptions!$C$8:$C$12,MIN(4-$D85+1,5)))</f>
        <v>5625000</v>
      </c>
      <c r="J85" s="27" t="n">
        <f aca="false">IF(5&lt;$D85,0,$E85*Assumptions!$C$4*INDEX(Assumptions!$C$8:$C$12,MIN(5-$D85+1,5)))</f>
        <v>16875000</v>
      </c>
    </row>
    <row r="86" customFormat="false" ht="15" hidden="false" customHeight="false" outlineLevel="0" collapsed="false">
      <c r="A86" s="20" t="n">
        <v>85</v>
      </c>
      <c r="B86" s="20" t="s">
        <v>167</v>
      </c>
      <c r="C86" s="20" t="s">
        <v>56</v>
      </c>
      <c r="D86" s="21" t="n">
        <v>5</v>
      </c>
      <c r="E86" s="22" t="n">
        <v>50000000</v>
      </c>
      <c r="F86" s="23" t="n">
        <f aca="false">IF(1&lt;$D86,0,$E86*Assumptions!$C$4*INDEX(Assumptions!$C$8:$C$12,MIN(1-$D86+1,5)))</f>
        <v>0</v>
      </c>
      <c r="G86" s="23" t="n">
        <f aca="false">IF(2&lt;$D86,0,$E86*Assumptions!$C$4*INDEX(Assumptions!$C$8:$C$12,MIN(2-$D86+1,5)))</f>
        <v>0</v>
      </c>
      <c r="H86" s="23" t="n">
        <f aca="false">IF(3&lt;$D86,0,$E86*Assumptions!$C$4*INDEX(Assumptions!$C$8:$C$12,MIN(3-$D86+1,5)))</f>
        <v>0</v>
      </c>
      <c r="I86" s="23" t="n">
        <f aca="false">IF(4&lt;$D86,0,$E86*Assumptions!$C$4*INDEX(Assumptions!$C$8:$C$12,MIN(4-$D86+1,5)))</f>
        <v>0</v>
      </c>
      <c r="J86" s="23" t="n">
        <f aca="false">IF(5&lt;$D86,0,$E86*Assumptions!$C$4*INDEX(Assumptions!$C$8:$C$12,MIN(5-$D86+1,5)))</f>
        <v>11250000</v>
      </c>
    </row>
    <row r="87" customFormat="false" ht="15" hidden="false" customHeight="false" outlineLevel="0" collapsed="false">
      <c r="A87" s="24" t="n">
        <v>86</v>
      </c>
      <c r="B87" s="24" t="s">
        <v>168</v>
      </c>
      <c r="C87" s="24" t="s">
        <v>56</v>
      </c>
      <c r="D87" s="25" t="n">
        <v>5</v>
      </c>
      <c r="E87" s="26" t="n">
        <v>45000000</v>
      </c>
      <c r="F87" s="27" t="n">
        <f aca="false">IF(1&lt;$D87,0,$E87*Assumptions!$C$4*INDEX(Assumptions!$C$8:$C$12,MIN(1-$D87+1,5)))</f>
        <v>0</v>
      </c>
      <c r="G87" s="27" t="n">
        <f aca="false">IF(2&lt;$D87,0,$E87*Assumptions!$C$4*INDEX(Assumptions!$C$8:$C$12,MIN(2-$D87+1,5)))</f>
        <v>0</v>
      </c>
      <c r="H87" s="27" t="n">
        <f aca="false">IF(3&lt;$D87,0,$E87*Assumptions!$C$4*INDEX(Assumptions!$C$8:$C$12,MIN(3-$D87+1,5)))</f>
        <v>0</v>
      </c>
      <c r="I87" s="27" t="n">
        <f aca="false">IF(4&lt;$D87,0,$E87*Assumptions!$C$4*INDEX(Assumptions!$C$8:$C$12,MIN(4-$D87+1,5)))</f>
        <v>0</v>
      </c>
      <c r="J87" s="27" t="n">
        <f aca="false">IF(5&lt;$D87,0,$E87*Assumptions!$C$4*INDEX(Assumptions!$C$8:$C$12,MIN(5-$D87+1,5)))</f>
        <v>10125000</v>
      </c>
    </row>
    <row r="88" customFormat="false" ht="15" hidden="false" customHeight="false" outlineLevel="0" collapsed="false">
      <c r="A88" s="20" t="n">
        <v>87</v>
      </c>
      <c r="B88" s="20" t="s">
        <v>169</v>
      </c>
      <c r="C88" s="20" t="s">
        <v>56</v>
      </c>
      <c r="D88" s="21" t="n">
        <v>5</v>
      </c>
      <c r="E88" s="22" t="n">
        <v>60000000</v>
      </c>
      <c r="F88" s="23" t="n">
        <f aca="false">IF(1&lt;$D88,0,$E88*Assumptions!$C$4*INDEX(Assumptions!$C$8:$C$12,MIN(1-$D88+1,5)))</f>
        <v>0</v>
      </c>
      <c r="G88" s="23" t="n">
        <f aca="false">IF(2&lt;$D88,0,$E88*Assumptions!$C$4*INDEX(Assumptions!$C$8:$C$12,MIN(2-$D88+1,5)))</f>
        <v>0</v>
      </c>
      <c r="H88" s="23" t="n">
        <f aca="false">IF(3&lt;$D88,0,$E88*Assumptions!$C$4*INDEX(Assumptions!$C$8:$C$12,MIN(3-$D88+1,5)))</f>
        <v>0</v>
      </c>
      <c r="I88" s="23" t="n">
        <f aca="false">IF(4&lt;$D88,0,$E88*Assumptions!$C$4*INDEX(Assumptions!$C$8:$C$12,MIN(4-$D88+1,5)))</f>
        <v>0</v>
      </c>
      <c r="J88" s="23" t="n">
        <f aca="false">IF(5&lt;$D88,0,$E88*Assumptions!$C$4*INDEX(Assumptions!$C$8:$C$12,MIN(5-$D88+1,5)))</f>
        <v>13500000</v>
      </c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false" outlineLevel="0" collapsed="false">
      <c r="A90" s="3"/>
      <c r="B90" s="5" t="s">
        <v>170</v>
      </c>
      <c r="C90" s="3"/>
      <c r="D90" s="3"/>
      <c r="E90" s="3"/>
      <c r="F90" s="28" t="n">
        <f aca="false">SUM(F2:F88)</f>
        <v>240750000</v>
      </c>
      <c r="G90" s="28" t="n">
        <f aca="false">SUM(G2:G88)</f>
        <v>981000000</v>
      </c>
      <c r="H90" s="28" t="n">
        <f aca="false">SUM(H2:H88)</f>
        <v>2203875000</v>
      </c>
      <c r="I90" s="28" t="n">
        <f aca="false">SUM(I2:I88)</f>
        <v>3612300000</v>
      </c>
      <c r="J90" s="28" t="n">
        <f aca="false">SUM(J2:J88)</f>
        <v>4780275000</v>
      </c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4" t="s">
        <v>40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171</v>
      </c>
      <c r="H1" s="3"/>
    </row>
    <row r="2" customFormat="false" ht="15" hidden="false" customHeight="false" outlineLevel="0" collapsed="false">
      <c r="A2" s="5" t="s">
        <v>43</v>
      </c>
      <c r="B2" s="27" t="n">
        <f aca="false">SUMIFS('Pipeline Model'!F$2:F$88,'Pipeline Model'!$C$2:$C$88,$A2)</f>
        <v>0</v>
      </c>
      <c r="C2" s="27" t="n">
        <f aca="false">SUMIFS('Pipeline Model'!G$2:G$88,'Pipeline Model'!$C$2:$C$88,$A2)</f>
        <v>121500000</v>
      </c>
      <c r="D2" s="27" t="n">
        <f aca="false">SUMIFS('Pipeline Model'!H$2:H$88,'Pipeline Model'!$C$2:$C$88,$A2)</f>
        <v>427500000</v>
      </c>
      <c r="E2" s="27" t="n">
        <f aca="false">SUMIFS('Pipeline Model'!I$2:I$88,'Pipeline Model'!$C$2:$C$88,$A2)</f>
        <v>832500000</v>
      </c>
      <c r="F2" s="27" t="n">
        <f aca="false">SUMIFS('Pipeline Model'!J$2:J$88,'Pipeline Model'!$C$2:$C$88,$A2)</f>
        <v>1192500000</v>
      </c>
      <c r="G2" s="29" t="str">
        <f aca="false">IFERROR((F2/B2)^(1/4)-1,"n/m")</f>
        <v>n/m</v>
      </c>
      <c r="H2" s="3"/>
    </row>
    <row r="3" customFormat="false" ht="15" hidden="false" customHeight="false" outlineLevel="0" collapsed="false">
      <c r="A3" s="5" t="s">
        <v>45</v>
      </c>
      <c r="B3" s="27" t="n">
        <f aca="false">SUMIFS('Pipeline Model'!F$2:F$88,'Pipeline Model'!$C$2:$C$88,$A3)</f>
        <v>0</v>
      </c>
      <c r="C3" s="27" t="n">
        <f aca="false">SUMIFS('Pipeline Model'!G$2:G$88,'Pipeline Model'!$C$2:$C$88,$A3)</f>
        <v>0</v>
      </c>
      <c r="D3" s="27" t="n">
        <f aca="false">SUMIFS('Pipeline Model'!H$2:H$88,'Pipeline Model'!$C$2:$C$88,$A3)</f>
        <v>61875000</v>
      </c>
      <c r="E3" s="27" t="n">
        <f aca="false">SUMIFS('Pipeline Model'!I$2:I$88,'Pipeline Model'!$C$2:$C$88,$A3)</f>
        <v>187425000</v>
      </c>
      <c r="F3" s="27" t="n">
        <f aca="false">SUMIFS('Pipeline Model'!J$2:J$88,'Pipeline Model'!$C$2:$C$88,$A3)</f>
        <v>314775000</v>
      </c>
      <c r="G3" s="29" t="str">
        <f aca="false">IFERROR((F3/B3)^(1/4)-1,"n/m")</f>
        <v>n/m</v>
      </c>
      <c r="H3" s="3"/>
    </row>
    <row r="4" customFormat="false" ht="15" hidden="false" customHeight="false" outlineLevel="0" collapsed="false">
      <c r="A4" s="5" t="s">
        <v>46</v>
      </c>
      <c r="B4" s="27" t="n">
        <f aca="false">SUMIFS('Pipeline Model'!F$2:F$88,'Pipeline Model'!$C$2:$C$88,$A4)</f>
        <v>0</v>
      </c>
      <c r="C4" s="27" t="n">
        <f aca="false">SUMIFS('Pipeline Model'!G$2:G$88,'Pipeline Model'!$C$2:$C$88,$A4)</f>
        <v>5625000</v>
      </c>
      <c r="D4" s="27" t="n">
        <f aca="false">SUMIFS('Pipeline Model'!H$2:H$88,'Pipeline Model'!$C$2:$C$88,$A4)</f>
        <v>38250000</v>
      </c>
      <c r="E4" s="27" t="n">
        <f aca="false">SUMIFS('Pipeline Model'!I$2:I$88,'Pipeline Model'!$C$2:$C$88,$A4)</f>
        <v>96750000</v>
      </c>
      <c r="F4" s="27" t="n">
        <f aca="false">SUMIFS('Pipeline Model'!J$2:J$88,'Pipeline Model'!$C$2:$C$88,$A4)</f>
        <v>156000000</v>
      </c>
      <c r="G4" s="29" t="str">
        <f aca="false">IFERROR((F4/B4)^(1/4)-1,"n/m")</f>
        <v>n/m</v>
      </c>
      <c r="H4" s="3"/>
    </row>
    <row r="5" customFormat="false" ht="15" hidden="false" customHeight="false" outlineLevel="0" collapsed="false">
      <c r="A5" s="5" t="s">
        <v>47</v>
      </c>
      <c r="B5" s="27" t="n">
        <f aca="false">SUMIFS('Pipeline Model'!F$2:F$88,'Pipeline Model'!$C$2:$C$88,$A5)</f>
        <v>0</v>
      </c>
      <c r="C5" s="27" t="n">
        <f aca="false">SUMIFS('Pipeline Model'!G$2:G$88,'Pipeline Model'!$C$2:$C$88,$A5)</f>
        <v>0</v>
      </c>
      <c r="D5" s="27" t="n">
        <f aca="false">SUMIFS('Pipeline Model'!H$2:H$88,'Pipeline Model'!$C$2:$C$88,$A5)</f>
        <v>0</v>
      </c>
      <c r="E5" s="27" t="n">
        <f aca="false">SUMIFS('Pipeline Model'!I$2:I$88,'Pipeline Model'!$C$2:$C$88,$A5)</f>
        <v>16875000</v>
      </c>
      <c r="F5" s="27" t="n">
        <f aca="false">SUMIFS('Pipeline Model'!J$2:J$88,'Pipeline Model'!$C$2:$C$88,$A5)</f>
        <v>52875000</v>
      </c>
      <c r="G5" s="29" t="str">
        <f aca="false">IFERROR((F5/B5)^(1/4)-1,"n/m")</f>
        <v>n/m</v>
      </c>
      <c r="H5" s="3"/>
    </row>
    <row r="6" customFormat="false" ht="15" hidden="false" customHeight="false" outlineLevel="0" collapsed="false">
      <c r="A6" s="5" t="s">
        <v>48</v>
      </c>
      <c r="B6" s="27" t="n">
        <f aca="false">SUMIFS('Pipeline Model'!F$2:F$88,'Pipeline Model'!$C$2:$C$88,$A6)</f>
        <v>49500000</v>
      </c>
      <c r="C6" s="27" t="n">
        <f aca="false">SUMIFS('Pipeline Model'!G$2:G$88,'Pipeline Model'!$C$2:$C$88,$A6)</f>
        <v>167625000</v>
      </c>
      <c r="D6" s="27" t="n">
        <f aca="false">SUMIFS('Pipeline Model'!H$2:H$88,'Pipeline Model'!$C$2:$C$88,$A6)</f>
        <v>304875000</v>
      </c>
      <c r="E6" s="27" t="n">
        <f aca="false">SUMIFS('Pipeline Model'!I$2:I$88,'Pipeline Model'!$C$2:$C$88,$A6)</f>
        <v>409125000</v>
      </c>
      <c r="F6" s="27" t="n">
        <f aca="false">SUMIFS('Pipeline Model'!J$2:J$88,'Pipeline Model'!$C$2:$C$88,$A6)</f>
        <v>451125000</v>
      </c>
      <c r="G6" s="29" t="n">
        <f aca="false">IFERROR((F6/B6)^(1/4)-1,"n/m")</f>
        <v>0.737492441700778</v>
      </c>
      <c r="H6" s="3"/>
    </row>
    <row r="7" customFormat="false" ht="15" hidden="false" customHeight="false" outlineLevel="0" collapsed="false">
      <c r="A7" s="5" t="s">
        <v>49</v>
      </c>
      <c r="B7" s="27" t="n">
        <f aca="false">SUMIFS('Pipeline Model'!F$2:F$88,'Pipeline Model'!$C$2:$C$88,$A7)</f>
        <v>78750000</v>
      </c>
      <c r="C7" s="27" t="n">
        <f aca="false">SUMIFS('Pipeline Model'!G$2:G$88,'Pipeline Model'!$C$2:$C$88,$A7)</f>
        <v>258750000</v>
      </c>
      <c r="D7" s="27" t="n">
        <f aca="false">SUMIFS('Pipeline Model'!H$2:H$88,'Pipeline Model'!$C$2:$C$88,$A7)</f>
        <v>478125000</v>
      </c>
      <c r="E7" s="27" t="n">
        <f aca="false">SUMIFS('Pipeline Model'!I$2:I$88,'Pipeline Model'!$C$2:$C$88,$A7)</f>
        <v>661875000</v>
      </c>
      <c r="F7" s="27" t="n">
        <f aca="false">SUMIFS('Pipeline Model'!J$2:J$88,'Pipeline Model'!$C$2:$C$88,$A7)</f>
        <v>751875000</v>
      </c>
      <c r="G7" s="29" t="n">
        <f aca="false">IFERROR((F7/B7)^(1/4)-1,"n/m")</f>
        <v>0.757817446440353</v>
      </c>
      <c r="H7" s="3"/>
    </row>
    <row r="8" customFormat="false" ht="15" hidden="false" customHeight="false" outlineLevel="0" collapsed="false">
      <c r="A8" s="5" t="s">
        <v>50</v>
      </c>
      <c r="B8" s="27" t="n">
        <f aca="false">SUMIFS('Pipeline Model'!F$2:F$88,'Pipeline Model'!$C$2:$C$88,$A8)</f>
        <v>109125000</v>
      </c>
      <c r="C8" s="27" t="n">
        <f aca="false">SUMIFS('Pipeline Model'!G$2:G$88,'Pipeline Model'!$C$2:$C$88,$A8)</f>
        <v>327375000</v>
      </c>
      <c r="D8" s="27" t="n">
        <f aca="false">SUMIFS('Pipeline Model'!H$2:H$88,'Pipeline Model'!$C$2:$C$88,$A8)</f>
        <v>558000000</v>
      </c>
      <c r="E8" s="27" t="n">
        <f aca="false">SUMIFS('Pipeline Model'!I$2:I$88,'Pipeline Model'!$C$2:$C$88,$A8)</f>
        <v>728250000</v>
      </c>
      <c r="F8" s="27" t="n">
        <f aca="false">SUMIFS('Pipeline Model'!J$2:J$88,'Pipeline Model'!$C$2:$C$88,$A8)</f>
        <v>789375000</v>
      </c>
      <c r="G8" s="29" t="n">
        <f aca="false">IFERROR((F8/B8)^(1/4)-1,"n/m")</f>
        <v>0.639984629828255</v>
      </c>
      <c r="H8" s="3"/>
    </row>
    <row r="9" customFormat="false" ht="15" hidden="false" customHeight="false" outlineLevel="0" collapsed="false">
      <c r="A9" s="5" t="s">
        <v>51</v>
      </c>
      <c r="B9" s="27" t="n">
        <f aca="false">SUMIFS('Pipeline Model'!F$2:F$88,'Pipeline Model'!$C$2:$C$88,$A9)</f>
        <v>0</v>
      </c>
      <c r="C9" s="27" t="n">
        <f aca="false">SUMIFS('Pipeline Model'!G$2:G$88,'Pipeline Model'!$C$2:$C$88,$A9)</f>
        <v>0</v>
      </c>
      <c r="D9" s="27" t="n">
        <f aca="false">SUMIFS('Pipeline Model'!H$2:H$88,'Pipeline Model'!$C$2:$C$88,$A9)</f>
        <v>32625000</v>
      </c>
      <c r="E9" s="27" t="n">
        <f aca="false">SUMIFS('Pipeline Model'!I$2:I$88,'Pipeline Model'!$C$2:$C$88,$A9)</f>
        <v>97875000</v>
      </c>
      <c r="F9" s="27" t="n">
        <f aca="false">SUMIFS('Pipeline Model'!J$2:J$88,'Pipeline Model'!$C$2:$C$88,$A9)</f>
        <v>163125000</v>
      </c>
      <c r="G9" s="29" t="str">
        <f aca="false">IFERROR((F9/B9)^(1/4)-1,"n/m")</f>
        <v>n/m</v>
      </c>
      <c r="H9" s="3"/>
    </row>
    <row r="10" customFormat="false" ht="15" hidden="false" customHeight="false" outlineLevel="0" collapsed="false">
      <c r="A10" s="5" t="s">
        <v>52</v>
      </c>
      <c r="B10" s="27" t="n">
        <f aca="false">SUMIFS('Pipeline Model'!F$2:F$88,'Pipeline Model'!$C$2:$C$88,$A10)</f>
        <v>0</v>
      </c>
      <c r="C10" s="27" t="n">
        <f aca="false">SUMIFS('Pipeline Model'!G$2:G$88,'Pipeline Model'!$C$2:$C$88,$A10)</f>
        <v>11250000</v>
      </c>
      <c r="D10" s="27" t="n">
        <f aca="false">SUMIFS('Pipeline Model'!H$2:H$88,'Pipeline Model'!$C$2:$C$88,$A10)</f>
        <v>33750000</v>
      </c>
      <c r="E10" s="27" t="n">
        <f aca="false">SUMIFS('Pipeline Model'!I$2:I$88,'Pipeline Model'!$C$2:$C$88,$A10)</f>
        <v>83250000</v>
      </c>
      <c r="F10" s="27" t="n">
        <f aca="false">SUMIFS('Pipeline Model'!J$2:J$88,'Pipeline Model'!$C$2:$C$88,$A10)</f>
        <v>165750000</v>
      </c>
      <c r="G10" s="29" t="str">
        <f aca="false">IFERROR((F10/B10)^(1/4)-1,"n/m")</f>
        <v>n/m</v>
      </c>
      <c r="H10" s="3"/>
    </row>
    <row r="11" customFormat="false" ht="15" hidden="false" customHeight="false" outlineLevel="0" collapsed="false">
      <c r="A11" s="5" t="s">
        <v>53</v>
      </c>
      <c r="B11" s="27" t="n">
        <f aca="false">SUMIFS('Pipeline Model'!F$2:F$88,'Pipeline Model'!$C$2:$C$88,$A11)</f>
        <v>3375000</v>
      </c>
      <c r="C11" s="27" t="n">
        <f aca="false">SUMIFS('Pipeline Model'!G$2:G$88,'Pipeline Model'!$C$2:$C$88,$A11)</f>
        <v>25875000</v>
      </c>
      <c r="D11" s="27" t="n">
        <f aca="false">SUMIFS('Pipeline Model'!H$2:H$88,'Pipeline Model'!$C$2:$C$88,$A11)</f>
        <v>64125000</v>
      </c>
      <c r="E11" s="27" t="n">
        <f aca="false">SUMIFS('Pipeline Model'!I$2:I$88,'Pipeline Model'!$C$2:$C$88,$A11)</f>
        <v>100125000</v>
      </c>
      <c r="F11" s="27" t="n">
        <f aca="false">SUMIFS('Pipeline Model'!J$2:J$88,'Pipeline Model'!$C$2:$C$88,$A11)</f>
        <v>122250000</v>
      </c>
      <c r="G11" s="29" t="n">
        <f aca="false">IFERROR((F11/B11)^(1/4)-1,"n/m")</f>
        <v>1.45326110074378</v>
      </c>
      <c r="H11" s="3"/>
    </row>
    <row r="12" customFormat="false" ht="15" hidden="false" customHeight="false" outlineLevel="0" collapsed="false">
      <c r="A12" s="5" t="s">
        <v>54</v>
      </c>
      <c r="B12" s="27" t="n">
        <f aca="false">SUMIFS('Pipeline Model'!F$2:F$88,'Pipeline Model'!$C$2:$C$88,$A12)</f>
        <v>0</v>
      </c>
      <c r="C12" s="27" t="n">
        <f aca="false">SUMIFS('Pipeline Model'!G$2:G$88,'Pipeline Model'!$C$2:$C$88,$A12)</f>
        <v>0</v>
      </c>
      <c r="D12" s="27" t="n">
        <f aca="false">SUMIFS('Pipeline Model'!H$2:H$88,'Pipeline Model'!$C$2:$C$88,$A12)</f>
        <v>15750000</v>
      </c>
      <c r="E12" s="27" t="n">
        <f aca="false">SUMIFS('Pipeline Model'!I$2:I$88,'Pipeline Model'!$C$2:$C$88,$A12)</f>
        <v>63000000</v>
      </c>
      <c r="F12" s="27" t="n">
        <f aca="false">SUMIFS('Pipeline Model'!J$2:J$88,'Pipeline Model'!$C$2:$C$88,$A12)</f>
        <v>126000000</v>
      </c>
      <c r="G12" s="29" t="str">
        <f aca="false">IFERROR((F12/B12)^(1/4)-1,"n/m")</f>
        <v>n/m</v>
      </c>
      <c r="H12" s="3"/>
    </row>
    <row r="13" customFormat="false" ht="15" hidden="false" customHeight="false" outlineLevel="0" collapsed="false">
      <c r="A13" s="5" t="s">
        <v>55</v>
      </c>
      <c r="B13" s="27" t="n">
        <f aca="false">SUMIFS('Pipeline Model'!F$2:F$88,'Pipeline Model'!$C$2:$C$88,$A13)</f>
        <v>0</v>
      </c>
      <c r="C13" s="27" t="n">
        <f aca="false">SUMIFS('Pipeline Model'!G$2:G$88,'Pipeline Model'!$C$2:$C$88,$A13)</f>
        <v>63000000</v>
      </c>
      <c r="D13" s="27" t="n">
        <f aca="false">SUMIFS('Pipeline Model'!H$2:H$88,'Pipeline Model'!$C$2:$C$88,$A13)</f>
        <v>189000000</v>
      </c>
      <c r="E13" s="27" t="n">
        <f aca="false">SUMIFS('Pipeline Model'!I$2:I$88,'Pipeline Model'!$C$2:$C$88,$A13)</f>
        <v>315000000</v>
      </c>
      <c r="F13" s="27" t="n">
        <f aca="false">SUMIFS('Pipeline Model'!J$2:J$88,'Pipeline Model'!$C$2:$C$88,$A13)</f>
        <v>399000000</v>
      </c>
      <c r="G13" s="29" t="str">
        <f aca="false">IFERROR((F13/B13)^(1/4)-1,"n/m")</f>
        <v>n/m</v>
      </c>
      <c r="H13" s="3"/>
    </row>
    <row r="14" customFormat="false" ht="15" hidden="false" customHeight="false" outlineLevel="0" collapsed="false">
      <c r="A14" s="5" t="s">
        <v>56</v>
      </c>
      <c r="B14" s="27" t="n">
        <f aca="false">SUMIFS('Pipeline Model'!F$2:F$88,'Pipeline Model'!$C$2:$C$88,$A14)</f>
        <v>0</v>
      </c>
      <c r="C14" s="27" t="n">
        <f aca="false">SUMIFS('Pipeline Model'!G$2:G$88,'Pipeline Model'!$C$2:$C$88,$A14)</f>
        <v>0</v>
      </c>
      <c r="D14" s="27" t="n">
        <f aca="false">SUMIFS('Pipeline Model'!H$2:H$88,'Pipeline Model'!$C$2:$C$88,$A14)</f>
        <v>0</v>
      </c>
      <c r="E14" s="27" t="n">
        <f aca="false">SUMIFS('Pipeline Model'!I$2:I$88,'Pipeline Model'!$C$2:$C$88,$A14)</f>
        <v>20250000</v>
      </c>
      <c r="F14" s="27" t="n">
        <f aca="false">SUMIFS('Pipeline Model'!J$2:J$88,'Pipeline Model'!$C$2:$C$88,$A14)</f>
        <v>95625000</v>
      </c>
      <c r="G14" s="29" t="str">
        <f aca="false">IFERROR((F14/B14)^(1/4)-1,"n/m")</f>
        <v>n/m</v>
      </c>
      <c r="H14" s="3"/>
    </row>
    <row r="15" customFormat="false" ht="15" hidden="false" customHeight="false" outlineLevel="0" collapsed="false">
      <c r="A15" s="5" t="s">
        <v>172</v>
      </c>
      <c r="B15" s="28" t="n">
        <f aca="false">SUM(B2:B14)</f>
        <v>240750000</v>
      </c>
      <c r="C15" s="28" t="n">
        <f aca="false">SUM(C2:C14)</f>
        <v>981000000</v>
      </c>
      <c r="D15" s="28" t="n">
        <f aca="false">SUM(D2:D14)</f>
        <v>2203875000</v>
      </c>
      <c r="E15" s="28" t="n">
        <f aca="false">SUM(E2:E14)</f>
        <v>3612300000</v>
      </c>
      <c r="F15" s="28" t="n">
        <f aca="false">SUM(F2:F14)</f>
        <v>4780275000</v>
      </c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5"/>
  </cols>
  <sheetData>
    <row r="1" customFormat="false" ht="16.15" hidden="false" customHeight="false" outlineLevel="0" collapsed="false">
      <c r="A1" s="30" t="s">
        <v>173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"/>
      <c r="N1" s="3"/>
      <c r="O1" s="3"/>
      <c r="P1" s="3"/>
      <c r="Q1" s="3"/>
      <c r="R1" s="3"/>
    </row>
    <row r="2" customFormat="false" ht="15" hidden="false" customHeight="false" outlineLevel="0" collapsed="false">
      <c r="A2" s="31" t="s">
        <v>174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"/>
      <c r="N2" s="3"/>
      <c r="O2" s="3"/>
      <c r="P2" s="3"/>
      <c r="Q2" s="3"/>
      <c r="R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19" t="s">
        <v>40</v>
      </c>
      <c r="B4" s="19" t="s">
        <v>41</v>
      </c>
      <c r="C4" s="19" t="s">
        <v>42</v>
      </c>
      <c r="D4" s="19" t="s">
        <v>175</v>
      </c>
      <c r="E4" s="19" t="s">
        <v>176</v>
      </c>
      <c r="F4" s="19" t="s">
        <v>177</v>
      </c>
      <c r="G4" s="19" t="s">
        <v>178</v>
      </c>
      <c r="H4" s="19" t="s">
        <v>179</v>
      </c>
      <c r="I4" s="19" t="s">
        <v>180</v>
      </c>
      <c r="J4" s="19" t="s">
        <v>181</v>
      </c>
      <c r="K4" s="19" t="s">
        <v>182</v>
      </c>
      <c r="L4" s="19" t="s">
        <v>183</v>
      </c>
      <c r="M4" s="19" t="s">
        <v>184</v>
      </c>
      <c r="N4" s="19" t="s">
        <v>185</v>
      </c>
      <c r="O4" s="19" t="s">
        <v>186</v>
      </c>
      <c r="P4" s="19" t="s">
        <v>187</v>
      </c>
      <c r="Q4" s="19" t="s">
        <v>188</v>
      </c>
      <c r="R4" s="19" t="s">
        <v>189</v>
      </c>
    </row>
    <row r="5" customFormat="false" ht="15" hidden="false" customHeight="false" outlineLevel="0" collapsed="false">
      <c r="A5" s="32" t="s">
        <v>43</v>
      </c>
      <c r="B5" s="33" t="n">
        <f aca="false">Assumptions!$C$24</f>
        <v>0.3</v>
      </c>
      <c r="C5" s="33" t="n">
        <f aca="false">Assumptions!$D$24</f>
        <v>0.7</v>
      </c>
      <c r="D5" s="23" t="n">
        <f aca="false">'Category Summary'!B2*INDEX(Assumptions!$C$16:$C$20,1)</f>
        <v>0</v>
      </c>
      <c r="E5" s="23" t="n">
        <f aca="false">D5*$B5</f>
        <v>0</v>
      </c>
      <c r="F5" s="23" t="n">
        <f aca="false">D5*$C5</f>
        <v>0</v>
      </c>
      <c r="G5" s="23" t="n">
        <f aca="false">'Category Summary'!C2*INDEX(Assumptions!$C$16:$C$20,2)</f>
        <v>13365000</v>
      </c>
      <c r="H5" s="23" t="n">
        <f aca="false">G5*$B5</f>
        <v>4009500</v>
      </c>
      <c r="I5" s="23" t="n">
        <f aca="false">G5*$C5</f>
        <v>9355500</v>
      </c>
      <c r="J5" s="23" t="n">
        <f aca="false">'Category Summary'!D2*INDEX(Assumptions!$C$16:$C$20,3)</f>
        <v>38475000</v>
      </c>
      <c r="K5" s="23" t="n">
        <f aca="false">J5*$B5</f>
        <v>11542500</v>
      </c>
      <c r="L5" s="23" t="n">
        <f aca="false">J5*$C5</f>
        <v>26932500</v>
      </c>
      <c r="M5" s="23" t="n">
        <f aca="false">'Category Summary'!E2*INDEX(Assumptions!$C$16:$C$20,4)</f>
        <v>58275000</v>
      </c>
      <c r="N5" s="23" t="n">
        <f aca="false">M5*$B5</f>
        <v>17482500</v>
      </c>
      <c r="O5" s="23" t="n">
        <f aca="false">M5*$C5</f>
        <v>40792500</v>
      </c>
      <c r="P5" s="23" t="n">
        <f aca="false">'Category Summary'!F2*INDEX(Assumptions!$C$16:$C$20,5)</f>
        <v>71550000</v>
      </c>
      <c r="Q5" s="23" t="n">
        <f aca="false">P5*$B5</f>
        <v>21465000</v>
      </c>
      <c r="R5" s="23" t="n">
        <f aca="false">P5*$C5</f>
        <v>50085000</v>
      </c>
    </row>
    <row r="6" customFormat="false" ht="15" hidden="false" customHeight="false" outlineLevel="0" collapsed="false">
      <c r="A6" s="34" t="s">
        <v>45</v>
      </c>
      <c r="B6" s="29" t="n">
        <f aca="false">Assumptions!$C$25</f>
        <v>0.4</v>
      </c>
      <c r="C6" s="29" t="n">
        <f aca="false">Assumptions!$D$25</f>
        <v>0.6</v>
      </c>
      <c r="D6" s="27" t="n">
        <f aca="false">'Category Summary'!B3*INDEX(Assumptions!$C$16:$C$20,1)</f>
        <v>0</v>
      </c>
      <c r="E6" s="27" t="n">
        <f aca="false">D6*$B6</f>
        <v>0</v>
      </c>
      <c r="F6" s="27" t="n">
        <f aca="false">D6*$C6</f>
        <v>0</v>
      </c>
      <c r="G6" s="27" t="n">
        <f aca="false">'Category Summary'!C3*INDEX(Assumptions!$C$16:$C$20,2)</f>
        <v>0</v>
      </c>
      <c r="H6" s="27" t="n">
        <f aca="false">G6*$B6</f>
        <v>0</v>
      </c>
      <c r="I6" s="27" t="n">
        <f aca="false">G6*$C6</f>
        <v>0</v>
      </c>
      <c r="J6" s="27" t="n">
        <f aca="false">'Category Summary'!D3*INDEX(Assumptions!$C$16:$C$20,3)</f>
        <v>5568750</v>
      </c>
      <c r="K6" s="27" t="n">
        <f aca="false">J6*$B6</f>
        <v>2227500</v>
      </c>
      <c r="L6" s="27" t="n">
        <f aca="false">J6*$C6</f>
        <v>3341250</v>
      </c>
      <c r="M6" s="27" t="n">
        <f aca="false">'Category Summary'!E3*INDEX(Assumptions!$C$16:$C$20,4)</f>
        <v>13119750</v>
      </c>
      <c r="N6" s="27" t="n">
        <f aca="false">M6*$B6</f>
        <v>5247900</v>
      </c>
      <c r="O6" s="27" t="n">
        <f aca="false">M6*$C6</f>
        <v>7871850</v>
      </c>
      <c r="P6" s="27" t="n">
        <f aca="false">'Category Summary'!F3*INDEX(Assumptions!$C$16:$C$20,5)</f>
        <v>18886500</v>
      </c>
      <c r="Q6" s="27" t="n">
        <f aca="false">P6*$B6</f>
        <v>7554600</v>
      </c>
      <c r="R6" s="27" t="n">
        <f aca="false">P6*$C6</f>
        <v>11331900</v>
      </c>
    </row>
    <row r="7" customFormat="false" ht="15" hidden="false" customHeight="false" outlineLevel="0" collapsed="false">
      <c r="A7" s="32" t="s">
        <v>46</v>
      </c>
      <c r="B7" s="33" t="n">
        <f aca="false">Assumptions!$C$26</f>
        <v>0.6</v>
      </c>
      <c r="C7" s="33" t="n">
        <f aca="false">Assumptions!$D$26</f>
        <v>0.4</v>
      </c>
      <c r="D7" s="23" t="n">
        <f aca="false">'Category Summary'!B4*INDEX(Assumptions!$C$16:$C$20,1)</f>
        <v>0</v>
      </c>
      <c r="E7" s="23" t="n">
        <f aca="false">D7*$B7</f>
        <v>0</v>
      </c>
      <c r="F7" s="23" t="n">
        <f aca="false">D7*$C7</f>
        <v>0</v>
      </c>
      <c r="G7" s="23" t="n">
        <f aca="false">'Category Summary'!C4*INDEX(Assumptions!$C$16:$C$20,2)</f>
        <v>618750</v>
      </c>
      <c r="H7" s="23" t="n">
        <f aca="false">G7*$B7</f>
        <v>371250</v>
      </c>
      <c r="I7" s="23" t="n">
        <f aca="false">G7*$C7</f>
        <v>247500</v>
      </c>
      <c r="J7" s="23" t="n">
        <f aca="false">'Category Summary'!D4*INDEX(Assumptions!$C$16:$C$20,3)</f>
        <v>3442500</v>
      </c>
      <c r="K7" s="23" t="n">
        <f aca="false">J7*$B7</f>
        <v>2065500</v>
      </c>
      <c r="L7" s="23" t="n">
        <f aca="false">J7*$C7</f>
        <v>1377000</v>
      </c>
      <c r="M7" s="23" t="n">
        <f aca="false">'Category Summary'!E4*INDEX(Assumptions!$C$16:$C$20,4)</f>
        <v>6772500</v>
      </c>
      <c r="N7" s="23" t="n">
        <f aca="false">M7*$B7</f>
        <v>4063500</v>
      </c>
      <c r="O7" s="23" t="n">
        <f aca="false">M7*$C7</f>
        <v>2709000</v>
      </c>
      <c r="P7" s="23" t="n">
        <f aca="false">'Category Summary'!F4*INDEX(Assumptions!$C$16:$C$20,5)</f>
        <v>9360000</v>
      </c>
      <c r="Q7" s="23" t="n">
        <f aca="false">P7*$B7</f>
        <v>5616000</v>
      </c>
      <c r="R7" s="23" t="n">
        <f aca="false">P7*$C7</f>
        <v>3744000</v>
      </c>
    </row>
    <row r="8" customFormat="false" ht="15" hidden="false" customHeight="false" outlineLevel="0" collapsed="false">
      <c r="A8" s="34" t="s">
        <v>47</v>
      </c>
      <c r="B8" s="29" t="n">
        <f aca="false">Assumptions!$C$27</f>
        <v>0.55</v>
      </c>
      <c r="C8" s="29" t="n">
        <f aca="false">Assumptions!$D$27</f>
        <v>0.45</v>
      </c>
      <c r="D8" s="27" t="n">
        <f aca="false">'Category Summary'!B5*INDEX(Assumptions!$C$16:$C$20,1)</f>
        <v>0</v>
      </c>
      <c r="E8" s="27" t="n">
        <f aca="false">D8*$B8</f>
        <v>0</v>
      </c>
      <c r="F8" s="27" t="n">
        <f aca="false">D8*$C8</f>
        <v>0</v>
      </c>
      <c r="G8" s="27" t="n">
        <f aca="false">'Category Summary'!C5*INDEX(Assumptions!$C$16:$C$20,2)</f>
        <v>0</v>
      </c>
      <c r="H8" s="27" t="n">
        <f aca="false">G8*$B8</f>
        <v>0</v>
      </c>
      <c r="I8" s="27" t="n">
        <f aca="false">G8*$C8</f>
        <v>0</v>
      </c>
      <c r="J8" s="27" t="n">
        <f aca="false">'Category Summary'!D5*INDEX(Assumptions!$C$16:$C$20,3)</f>
        <v>0</v>
      </c>
      <c r="K8" s="27" t="n">
        <f aca="false">J8*$B8</f>
        <v>0</v>
      </c>
      <c r="L8" s="27" t="n">
        <f aca="false">J8*$C8</f>
        <v>0</v>
      </c>
      <c r="M8" s="27" t="n">
        <f aca="false">'Category Summary'!E5*INDEX(Assumptions!$C$16:$C$20,4)</f>
        <v>1181250</v>
      </c>
      <c r="N8" s="27" t="n">
        <f aca="false">M8*$B8</f>
        <v>649687.5</v>
      </c>
      <c r="O8" s="27" t="n">
        <f aca="false">M8*$C8</f>
        <v>531562.5</v>
      </c>
      <c r="P8" s="27" t="n">
        <f aca="false">'Category Summary'!F5*INDEX(Assumptions!$C$16:$C$20,5)</f>
        <v>3172500</v>
      </c>
      <c r="Q8" s="27" t="n">
        <f aca="false">P8*$B8</f>
        <v>1744875</v>
      </c>
      <c r="R8" s="27" t="n">
        <f aca="false">P8*$C8</f>
        <v>1427625</v>
      </c>
    </row>
    <row r="9" customFormat="false" ht="15" hidden="false" customHeight="false" outlineLevel="0" collapsed="false">
      <c r="A9" s="32" t="s">
        <v>48</v>
      </c>
      <c r="B9" s="33" t="n">
        <f aca="false">Assumptions!$C$28</f>
        <v>0.7</v>
      </c>
      <c r="C9" s="33" t="n">
        <f aca="false">Assumptions!$D$28</f>
        <v>0.3</v>
      </c>
      <c r="D9" s="23" t="n">
        <f aca="false">'Category Summary'!B6*INDEX(Assumptions!$C$16:$C$20,1)</f>
        <v>6930000</v>
      </c>
      <c r="E9" s="23" t="n">
        <f aca="false">D9*$B9</f>
        <v>4851000</v>
      </c>
      <c r="F9" s="23" t="n">
        <f aca="false">D9*$C9</f>
        <v>2079000</v>
      </c>
      <c r="G9" s="23" t="n">
        <f aca="false">'Category Summary'!C6*INDEX(Assumptions!$C$16:$C$20,2)</f>
        <v>18438750</v>
      </c>
      <c r="H9" s="23" t="n">
        <f aca="false">G9*$B9</f>
        <v>12907125</v>
      </c>
      <c r="I9" s="23" t="n">
        <f aca="false">G9*$C9</f>
        <v>5531625</v>
      </c>
      <c r="J9" s="23" t="n">
        <f aca="false">'Category Summary'!D6*INDEX(Assumptions!$C$16:$C$20,3)</f>
        <v>27438750</v>
      </c>
      <c r="K9" s="23" t="n">
        <f aca="false">J9*$B9</f>
        <v>19207125</v>
      </c>
      <c r="L9" s="23" t="n">
        <f aca="false">J9*$C9</f>
        <v>8231625</v>
      </c>
      <c r="M9" s="23" t="n">
        <f aca="false">'Category Summary'!E6*INDEX(Assumptions!$C$16:$C$20,4)</f>
        <v>28638750</v>
      </c>
      <c r="N9" s="23" t="n">
        <f aca="false">M9*$B9</f>
        <v>20047125</v>
      </c>
      <c r="O9" s="23" t="n">
        <f aca="false">M9*$C9</f>
        <v>8591625</v>
      </c>
      <c r="P9" s="23" t="n">
        <f aca="false">'Category Summary'!F6*INDEX(Assumptions!$C$16:$C$20,5)</f>
        <v>27067500</v>
      </c>
      <c r="Q9" s="23" t="n">
        <f aca="false">P9*$B9</f>
        <v>18947250</v>
      </c>
      <c r="R9" s="23" t="n">
        <f aca="false">P9*$C9</f>
        <v>8120250</v>
      </c>
    </row>
    <row r="10" customFormat="false" ht="15" hidden="false" customHeight="false" outlineLevel="0" collapsed="false">
      <c r="A10" s="34" t="s">
        <v>49</v>
      </c>
      <c r="B10" s="29" t="n">
        <f aca="false">Assumptions!$C$29</f>
        <v>0.75</v>
      </c>
      <c r="C10" s="29" t="n">
        <f aca="false">Assumptions!$D$29</f>
        <v>0.25</v>
      </c>
      <c r="D10" s="27" t="n">
        <f aca="false">'Category Summary'!B7*INDEX(Assumptions!$C$16:$C$20,1)</f>
        <v>11025000</v>
      </c>
      <c r="E10" s="27" t="n">
        <f aca="false">D10*$B10</f>
        <v>8268750</v>
      </c>
      <c r="F10" s="27" t="n">
        <f aca="false">D10*$C10</f>
        <v>2756250</v>
      </c>
      <c r="G10" s="27" t="n">
        <f aca="false">'Category Summary'!C7*INDEX(Assumptions!$C$16:$C$20,2)</f>
        <v>28462500</v>
      </c>
      <c r="H10" s="27" t="n">
        <f aca="false">G10*$B10</f>
        <v>21346875</v>
      </c>
      <c r="I10" s="27" t="n">
        <f aca="false">G10*$C10</f>
        <v>7115625</v>
      </c>
      <c r="J10" s="27" t="n">
        <f aca="false">'Category Summary'!D7*INDEX(Assumptions!$C$16:$C$20,3)</f>
        <v>43031250</v>
      </c>
      <c r="K10" s="27" t="n">
        <f aca="false">J10*$B10</f>
        <v>32273437.5</v>
      </c>
      <c r="L10" s="27" t="n">
        <f aca="false">J10*$C10</f>
        <v>10757812.5</v>
      </c>
      <c r="M10" s="27" t="n">
        <f aca="false">'Category Summary'!E7*INDEX(Assumptions!$C$16:$C$20,4)</f>
        <v>46331250</v>
      </c>
      <c r="N10" s="27" t="n">
        <f aca="false">M10*$B10</f>
        <v>34748437.5</v>
      </c>
      <c r="O10" s="27" t="n">
        <f aca="false">M10*$C10</f>
        <v>11582812.5</v>
      </c>
      <c r="P10" s="27" t="n">
        <f aca="false">'Category Summary'!F7*INDEX(Assumptions!$C$16:$C$20,5)</f>
        <v>45112500</v>
      </c>
      <c r="Q10" s="27" t="n">
        <f aca="false">P10*$B10</f>
        <v>33834375</v>
      </c>
      <c r="R10" s="27" t="n">
        <f aca="false">P10*$C10</f>
        <v>11278125</v>
      </c>
    </row>
    <row r="11" customFormat="false" ht="15" hidden="false" customHeight="false" outlineLevel="0" collapsed="false">
      <c r="A11" s="32" t="s">
        <v>50</v>
      </c>
      <c r="B11" s="33" t="n">
        <f aca="false">Assumptions!$C$30</f>
        <v>0.65</v>
      </c>
      <c r="C11" s="33" t="n">
        <f aca="false">Assumptions!$D$30</f>
        <v>0.35</v>
      </c>
      <c r="D11" s="23" t="n">
        <f aca="false">'Category Summary'!B8*INDEX(Assumptions!$C$16:$C$20,1)</f>
        <v>15277500</v>
      </c>
      <c r="E11" s="23" t="n">
        <f aca="false">D11*$B11</f>
        <v>9930375</v>
      </c>
      <c r="F11" s="23" t="n">
        <f aca="false">D11*$C11</f>
        <v>5347125</v>
      </c>
      <c r="G11" s="23" t="n">
        <f aca="false">'Category Summary'!C8*INDEX(Assumptions!$C$16:$C$20,2)</f>
        <v>36011250</v>
      </c>
      <c r="H11" s="23" t="n">
        <f aca="false">G11*$B11</f>
        <v>23407312.5</v>
      </c>
      <c r="I11" s="23" t="n">
        <f aca="false">G11*$C11</f>
        <v>12603937.5</v>
      </c>
      <c r="J11" s="23" t="n">
        <f aca="false">'Category Summary'!D8*INDEX(Assumptions!$C$16:$C$20,3)</f>
        <v>50220000</v>
      </c>
      <c r="K11" s="23" t="n">
        <f aca="false">J11*$B11</f>
        <v>32643000</v>
      </c>
      <c r="L11" s="23" t="n">
        <f aca="false">J11*$C11</f>
        <v>17577000</v>
      </c>
      <c r="M11" s="23" t="n">
        <f aca="false">'Category Summary'!E8*INDEX(Assumptions!$C$16:$C$20,4)</f>
        <v>50977500</v>
      </c>
      <c r="N11" s="23" t="n">
        <f aca="false">M11*$B11</f>
        <v>33135375</v>
      </c>
      <c r="O11" s="23" t="n">
        <f aca="false">M11*$C11</f>
        <v>17842125</v>
      </c>
      <c r="P11" s="23" t="n">
        <f aca="false">'Category Summary'!F8*INDEX(Assumptions!$C$16:$C$20,5)</f>
        <v>47362500</v>
      </c>
      <c r="Q11" s="23" t="n">
        <f aca="false">P11*$B11</f>
        <v>30785625</v>
      </c>
      <c r="R11" s="23" t="n">
        <f aca="false">P11*$C11</f>
        <v>16576875</v>
      </c>
    </row>
    <row r="12" customFormat="false" ht="15" hidden="false" customHeight="false" outlineLevel="0" collapsed="false">
      <c r="A12" s="34" t="s">
        <v>51</v>
      </c>
      <c r="B12" s="29" t="n">
        <f aca="false">Assumptions!$C$31</f>
        <v>0.5</v>
      </c>
      <c r="C12" s="29" t="n">
        <f aca="false">Assumptions!$D$31</f>
        <v>0.5</v>
      </c>
      <c r="D12" s="27" t="n">
        <f aca="false">'Category Summary'!B9*INDEX(Assumptions!$C$16:$C$20,1)</f>
        <v>0</v>
      </c>
      <c r="E12" s="27" t="n">
        <f aca="false">D12*$B12</f>
        <v>0</v>
      </c>
      <c r="F12" s="27" t="n">
        <f aca="false">D12*$C12</f>
        <v>0</v>
      </c>
      <c r="G12" s="27" t="n">
        <f aca="false">'Category Summary'!C9*INDEX(Assumptions!$C$16:$C$20,2)</f>
        <v>0</v>
      </c>
      <c r="H12" s="27" t="n">
        <f aca="false">G12*$B12</f>
        <v>0</v>
      </c>
      <c r="I12" s="27" t="n">
        <f aca="false">G12*$C12</f>
        <v>0</v>
      </c>
      <c r="J12" s="27" t="n">
        <f aca="false">'Category Summary'!D9*INDEX(Assumptions!$C$16:$C$20,3)</f>
        <v>2936250</v>
      </c>
      <c r="K12" s="27" t="n">
        <f aca="false">J12*$B12</f>
        <v>1468125</v>
      </c>
      <c r="L12" s="27" t="n">
        <f aca="false">J12*$C12</f>
        <v>1468125</v>
      </c>
      <c r="M12" s="27" t="n">
        <f aca="false">'Category Summary'!E9*INDEX(Assumptions!$C$16:$C$20,4)</f>
        <v>6851250</v>
      </c>
      <c r="N12" s="27" t="n">
        <f aca="false">M12*$B12</f>
        <v>3425625</v>
      </c>
      <c r="O12" s="27" t="n">
        <f aca="false">M12*$C12</f>
        <v>3425625</v>
      </c>
      <c r="P12" s="27" t="n">
        <f aca="false">'Category Summary'!F9*INDEX(Assumptions!$C$16:$C$20,5)</f>
        <v>9787500</v>
      </c>
      <c r="Q12" s="27" t="n">
        <f aca="false">P12*$B12</f>
        <v>4893750</v>
      </c>
      <c r="R12" s="27" t="n">
        <f aca="false">P12*$C12</f>
        <v>4893750</v>
      </c>
    </row>
    <row r="13" customFormat="false" ht="15" hidden="false" customHeight="false" outlineLevel="0" collapsed="false">
      <c r="A13" s="32" t="s">
        <v>52</v>
      </c>
      <c r="B13" s="33" t="n">
        <f aca="false">Assumptions!$C$32</f>
        <v>0.6</v>
      </c>
      <c r="C13" s="33" t="n">
        <f aca="false">Assumptions!$D$32</f>
        <v>0.4</v>
      </c>
      <c r="D13" s="23" t="n">
        <f aca="false">'Category Summary'!B10*INDEX(Assumptions!$C$16:$C$20,1)</f>
        <v>0</v>
      </c>
      <c r="E13" s="23" t="n">
        <f aca="false">D13*$B13</f>
        <v>0</v>
      </c>
      <c r="F13" s="23" t="n">
        <f aca="false">D13*$C13</f>
        <v>0</v>
      </c>
      <c r="G13" s="23" t="n">
        <f aca="false">'Category Summary'!C10*INDEX(Assumptions!$C$16:$C$20,2)</f>
        <v>1237500</v>
      </c>
      <c r="H13" s="23" t="n">
        <f aca="false">G13*$B13</f>
        <v>742500</v>
      </c>
      <c r="I13" s="23" t="n">
        <f aca="false">G13*$C13</f>
        <v>495000</v>
      </c>
      <c r="J13" s="23" t="n">
        <f aca="false">'Category Summary'!D10*INDEX(Assumptions!$C$16:$C$20,3)</f>
        <v>3037500</v>
      </c>
      <c r="K13" s="23" t="n">
        <f aca="false">J13*$B13</f>
        <v>1822500</v>
      </c>
      <c r="L13" s="23" t="n">
        <f aca="false">J13*$C13</f>
        <v>1215000</v>
      </c>
      <c r="M13" s="23" t="n">
        <f aca="false">'Category Summary'!E10*INDEX(Assumptions!$C$16:$C$20,4)</f>
        <v>5827500</v>
      </c>
      <c r="N13" s="23" t="n">
        <f aca="false">M13*$B13</f>
        <v>3496500</v>
      </c>
      <c r="O13" s="23" t="n">
        <f aca="false">M13*$C13</f>
        <v>2331000</v>
      </c>
      <c r="P13" s="23" t="n">
        <f aca="false">'Category Summary'!F10*INDEX(Assumptions!$C$16:$C$20,5)</f>
        <v>9945000</v>
      </c>
      <c r="Q13" s="23" t="n">
        <f aca="false">P13*$B13</f>
        <v>5967000</v>
      </c>
      <c r="R13" s="23" t="n">
        <f aca="false">P13*$C13</f>
        <v>3978000</v>
      </c>
    </row>
    <row r="14" customFormat="false" ht="15" hidden="false" customHeight="false" outlineLevel="0" collapsed="false">
      <c r="A14" s="34" t="s">
        <v>53</v>
      </c>
      <c r="B14" s="29" t="n">
        <f aca="false">Assumptions!$C$33</f>
        <v>0.35</v>
      </c>
      <c r="C14" s="29" t="n">
        <f aca="false">Assumptions!$D$33</f>
        <v>0.65</v>
      </c>
      <c r="D14" s="27" t="n">
        <f aca="false">'Category Summary'!B11*INDEX(Assumptions!$C$16:$C$20,1)</f>
        <v>472500</v>
      </c>
      <c r="E14" s="27" t="n">
        <f aca="false">D14*$B14</f>
        <v>165375</v>
      </c>
      <c r="F14" s="27" t="n">
        <f aca="false">D14*$C14</f>
        <v>307125</v>
      </c>
      <c r="G14" s="27" t="n">
        <f aca="false">'Category Summary'!C11*INDEX(Assumptions!$C$16:$C$20,2)</f>
        <v>2846250</v>
      </c>
      <c r="H14" s="27" t="n">
        <f aca="false">G14*$B14</f>
        <v>996187.5</v>
      </c>
      <c r="I14" s="27" t="n">
        <f aca="false">G14*$C14</f>
        <v>1850062.5</v>
      </c>
      <c r="J14" s="27" t="n">
        <f aca="false">'Category Summary'!D11*INDEX(Assumptions!$C$16:$C$20,3)</f>
        <v>5771250</v>
      </c>
      <c r="K14" s="27" t="n">
        <f aca="false">J14*$B14</f>
        <v>2019937.5</v>
      </c>
      <c r="L14" s="27" t="n">
        <f aca="false">J14*$C14</f>
        <v>3751312.5</v>
      </c>
      <c r="M14" s="27" t="n">
        <f aca="false">'Category Summary'!E11*INDEX(Assumptions!$C$16:$C$20,4)</f>
        <v>7008750</v>
      </c>
      <c r="N14" s="27" t="n">
        <f aca="false">M14*$B14</f>
        <v>2453062.5</v>
      </c>
      <c r="O14" s="27" t="n">
        <f aca="false">M14*$C14</f>
        <v>4555687.5</v>
      </c>
      <c r="P14" s="27" t="n">
        <f aca="false">'Category Summary'!F11*INDEX(Assumptions!$C$16:$C$20,5)</f>
        <v>7335000</v>
      </c>
      <c r="Q14" s="27" t="n">
        <f aca="false">P14*$B14</f>
        <v>2567250</v>
      </c>
      <c r="R14" s="27" t="n">
        <f aca="false">P14*$C14</f>
        <v>4767750</v>
      </c>
    </row>
    <row r="15" customFormat="false" ht="15" hidden="false" customHeight="false" outlineLevel="0" collapsed="false">
      <c r="A15" s="32" t="s">
        <v>54</v>
      </c>
      <c r="B15" s="33" t="n">
        <f aca="false">Assumptions!$C$34</f>
        <v>0.5</v>
      </c>
      <c r="C15" s="33" t="n">
        <f aca="false">Assumptions!$D$34</f>
        <v>0.5</v>
      </c>
      <c r="D15" s="23" t="n">
        <f aca="false">'Category Summary'!B12*INDEX(Assumptions!$C$16:$C$20,1)</f>
        <v>0</v>
      </c>
      <c r="E15" s="23" t="n">
        <f aca="false">D15*$B15</f>
        <v>0</v>
      </c>
      <c r="F15" s="23" t="n">
        <f aca="false">D15*$C15</f>
        <v>0</v>
      </c>
      <c r="G15" s="23" t="n">
        <f aca="false">'Category Summary'!C12*INDEX(Assumptions!$C$16:$C$20,2)</f>
        <v>0</v>
      </c>
      <c r="H15" s="23" t="n">
        <f aca="false">G15*$B15</f>
        <v>0</v>
      </c>
      <c r="I15" s="23" t="n">
        <f aca="false">G15*$C15</f>
        <v>0</v>
      </c>
      <c r="J15" s="23" t="n">
        <f aca="false">'Category Summary'!D12*INDEX(Assumptions!$C$16:$C$20,3)</f>
        <v>1417500</v>
      </c>
      <c r="K15" s="23" t="n">
        <f aca="false">J15*$B15</f>
        <v>708750</v>
      </c>
      <c r="L15" s="23" t="n">
        <f aca="false">J15*$C15</f>
        <v>708750</v>
      </c>
      <c r="M15" s="23" t="n">
        <f aca="false">'Category Summary'!E12*INDEX(Assumptions!$C$16:$C$20,4)</f>
        <v>4410000</v>
      </c>
      <c r="N15" s="23" t="n">
        <f aca="false">M15*$B15</f>
        <v>2205000</v>
      </c>
      <c r="O15" s="23" t="n">
        <f aca="false">M15*$C15</f>
        <v>2205000</v>
      </c>
      <c r="P15" s="23" t="n">
        <f aca="false">'Category Summary'!F12*INDEX(Assumptions!$C$16:$C$20,5)</f>
        <v>7560000</v>
      </c>
      <c r="Q15" s="23" t="n">
        <f aca="false">P15*$B15</f>
        <v>3780000</v>
      </c>
      <c r="R15" s="23" t="n">
        <f aca="false">P15*$C15</f>
        <v>3780000</v>
      </c>
    </row>
    <row r="16" customFormat="false" ht="15" hidden="false" customHeight="false" outlineLevel="0" collapsed="false">
      <c r="A16" s="34" t="s">
        <v>55</v>
      </c>
      <c r="B16" s="29" t="n">
        <f aca="false">Assumptions!$C$35</f>
        <v>0.7</v>
      </c>
      <c r="C16" s="29" t="n">
        <f aca="false">Assumptions!$D$35</f>
        <v>0.3</v>
      </c>
      <c r="D16" s="27" t="n">
        <f aca="false">'Category Summary'!B13*INDEX(Assumptions!$C$16:$C$20,1)</f>
        <v>0</v>
      </c>
      <c r="E16" s="27" t="n">
        <f aca="false">D16*$B16</f>
        <v>0</v>
      </c>
      <c r="F16" s="27" t="n">
        <f aca="false">D16*$C16</f>
        <v>0</v>
      </c>
      <c r="G16" s="27" t="n">
        <f aca="false">'Category Summary'!C13*INDEX(Assumptions!$C$16:$C$20,2)</f>
        <v>6930000</v>
      </c>
      <c r="H16" s="27" t="n">
        <f aca="false">G16*$B16</f>
        <v>4851000</v>
      </c>
      <c r="I16" s="27" t="n">
        <f aca="false">G16*$C16</f>
        <v>2079000</v>
      </c>
      <c r="J16" s="27" t="n">
        <f aca="false">'Category Summary'!D13*INDEX(Assumptions!$C$16:$C$20,3)</f>
        <v>17010000</v>
      </c>
      <c r="K16" s="27" t="n">
        <f aca="false">J16*$B16</f>
        <v>11907000</v>
      </c>
      <c r="L16" s="27" t="n">
        <f aca="false">J16*$C16</f>
        <v>5103000</v>
      </c>
      <c r="M16" s="27" t="n">
        <f aca="false">'Category Summary'!E13*INDEX(Assumptions!$C$16:$C$20,4)</f>
        <v>22050000</v>
      </c>
      <c r="N16" s="27" t="n">
        <f aca="false">M16*$B16</f>
        <v>15435000</v>
      </c>
      <c r="O16" s="27" t="n">
        <f aca="false">M16*$C16</f>
        <v>6615000</v>
      </c>
      <c r="P16" s="27" t="n">
        <f aca="false">'Category Summary'!F13*INDEX(Assumptions!$C$16:$C$20,5)</f>
        <v>23940000</v>
      </c>
      <c r="Q16" s="27" t="n">
        <f aca="false">P16*$B16</f>
        <v>16758000</v>
      </c>
      <c r="R16" s="27" t="n">
        <f aca="false">P16*$C16</f>
        <v>7182000</v>
      </c>
    </row>
    <row r="17" customFormat="false" ht="15" hidden="false" customHeight="false" outlineLevel="0" collapsed="false">
      <c r="A17" s="32" t="s">
        <v>56</v>
      </c>
      <c r="B17" s="33" t="n">
        <f aca="false">Assumptions!$C$36</f>
        <v>0.65</v>
      </c>
      <c r="C17" s="33" t="n">
        <f aca="false">Assumptions!$D$36</f>
        <v>0.35</v>
      </c>
      <c r="D17" s="23" t="n">
        <f aca="false">'Category Summary'!B14*INDEX(Assumptions!$C$16:$C$20,1)</f>
        <v>0</v>
      </c>
      <c r="E17" s="23" t="n">
        <f aca="false">D17*$B17</f>
        <v>0</v>
      </c>
      <c r="F17" s="23" t="n">
        <f aca="false">D17*$C17</f>
        <v>0</v>
      </c>
      <c r="G17" s="23" t="n">
        <f aca="false">'Category Summary'!C14*INDEX(Assumptions!$C$16:$C$20,2)</f>
        <v>0</v>
      </c>
      <c r="H17" s="23" t="n">
        <f aca="false">G17*$B17</f>
        <v>0</v>
      </c>
      <c r="I17" s="23" t="n">
        <f aca="false">G17*$C17</f>
        <v>0</v>
      </c>
      <c r="J17" s="23" t="n">
        <f aca="false">'Category Summary'!D14*INDEX(Assumptions!$C$16:$C$20,3)</f>
        <v>0</v>
      </c>
      <c r="K17" s="23" t="n">
        <f aca="false">J17*$B17</f>
        <v>0</v>
      </c>
      <c r="L17" s="23" t="n">
        <f aca="false">J17*$C17</f>
        <v>0</v>
      </c>
      <c r="M17" s="23" t="n">
        <f aca="false">'Category Summary'!E14*INDEX(Assumptions!$C$16:$C$20,4)</f>
        <v>1417500</v>
      </c>
      <c r="N17" s="23" t="n">
        <f aca="false">M17*$B17</f>
        <v>921375</v>
      </c>
      <c r="O17" s="23" t="n">
        <f aca="false">M17*$C17</f>
        <v>496125</v>
      </c>
      <c r="P17" s="23" t="n">
        <f aca="false">'Category Summary'!F14*INDEX(Assumptions!$C$16:$C$20,5)</f>
        <v>5737500</v>
      </c>
      <c r="Q17" s="23" t="n">
        <f aca="false">P17*$B17</f>
        <v>3729375</v>
      </c>
      <c r="R17" s="23" t="n">
        <f aca="false">P17*$C17</f>
        <v>2008125</v>
      </c>
    </row>
    <row r="18" customFormat="false" ht="15" hidden="false" customHeight="false" outlineLevel="0" collapsed="false">
      <c r="A18" s="5" t="s">
        <v>172</v>
      </c>
      <c r="B18" s="3"/>
      <c r="C18" s="3"/>
      <c r="D18" s="28" t="n">
        <f aca="false">SUM(D5:D17)</f>
        <v>33705000</v>
      </c>
      <c r="E18" s="28" t="n">
        <f aca="false">SUM(E5:E17)</f>
        <v>23215500</v>
      </c>
      <c r="F18" s="28" t="n">
        <f aca="false">SUM(F5:F17)</f>
        <v>10489500</v>
      </c>
      <c r="G18" s="28" t="n">
        <f aca="false">SUM(G5:G17)</f>
        <v>107910000</v>
      </c>
      <c r="H18" s="28" t="n">
        <f aca="false">SUM(H5:H17)</f>
        <v>68631750</v>
      </c>
      <c r="I18" s="28" t="n">
        <f aca="false">SUM(I5:I17)</f>
        <v>39278250</v>
      </c>
      <c r="J18" s="28" t="n">
        <f aca="false">SUM(J5:J17)</f>
        <v>198348750</v>
      </c>
      <c r="K18" s="28" t="n">
        <f aca="false">SUM(K5:K17)</f>
        <v>117885375</v>
      </c>
      <c r="L18" s="28" t="n">
        <f aca="false">SUM(L5:L17)</f>
        <v>80463375</v>
      </c>
      <c r="M18" s="28" t="n">
        <f aca="false">SUM(M5:M17)</f>
        <v>252861000</v>
      </c>
      <c r="N18" s="28" t="n">
        <f aca="false">SUM(N5:N17)</f>
        <v>143311087.5</v>
      </c>
      <c r="O18" s="28" t="n">
        <f aca="false">SUM(O5:O17)</f>
        <v>109549912.5</v>
      </c>
      <c r="P18" s="28" t="n">
        <f aca="false">SUM(P5:P17)</f>
        <v>286816500</v>
      </c>
      <c r="Q18" s="28" t="n">
        <f aca="false">SUM(Q5:Q17)</f>
        <v>157643100</v>
      </c>
      <c r="R18" s="28" t="n">
        <f aca="false">SUM(R5:R17)</f>
        <v>129173400</v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2026-09-18T11:30:31Z</dcterms:created>
  <dc:creator>openpyxl</dc:creator>
  <dc:description/>
  <dc:language>en-US</dc:language>
  <cp:lastModifiedBy/>
  <dcterms:modified xsi:type="dcterms:W3CDTF">2026-09-18T11:30:35Z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