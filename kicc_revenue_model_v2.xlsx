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ipeline Model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Advertising &amp; Media Cost" sheetId="5" state="visible" r:id="rId5"/>
    <sheet xmlns:r="http://schemas.openxmlformats.org/officeDocument/2006/relationships" name="Media Rate Card" sheetId="6" state="visible" r:id="rId6"/>
    <sheet xmlns:r="http://schemas.openxmlformats.org/officeDocument/2006/relationships" name="Full Maturity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&quot;KSh &quot;#,##0;&quot;(KSh &quot;#,##0\);\-"/>
    <numFmt numFmtId="165" formatCode="\$#,##0"/>
    <numFmt numFmtId="166" formatCode="0.0%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5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95959"/>
      <sz val="9"/>
    </font>
    <font>
      <b val="1"/>
      <color rgb="00FFFFFF"/>
      <sz val="10"/>
    </font>
    <font>
      <b val="1"/>
      <sz val="12"/>
    </font>
    <font>
      <b val="1"/>
      <sz val="10"/>
    </font>
    <font>
      <b val="1"/>
    </font>
    <font/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001F3864"/>
      </patternFill>
    </fill>
    <fill>
      <patternFill patternType="solid">
        <fgColor rgb="00D6E4F0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double"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general" vertical="bottom"/>
    </xf>
    <xf numFmtId="0" fontId="9" fillId="3" borderId="2" applyAlignment="1" pivotButton="0" quotePrefix="0" xfId="0">
      <alignment horizontal="general" vertical="bottom"/>
    </xf>
    <xf numFmtId="164" fontId="9" fillId="3" borderId="2" applyAlignment="1" pivotButton="0" quotePrefix="0" xfId="0">
      <alignment horizontal="general" vertical="bottom"/>
    </xf>
    <xf numFmtId="164" fontId="6" fillId="3" borderId="2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164" fontId="6" fillId="0" borderId="2" applyAlignment="1" pivotButton="0" quotePrefix="0" xfId="0">
      <alignment horizontal="general" vertical="bottom"/>
    </xf>
    <xf numFmtId="164" fontId="8" fillId="0" borderId="3" applyAlignment="1" pivotButton="0" quotePrefix="0" xfId="0">
      <alignment horizontal="general" vertical="bottom"/>
    </xf>
    <xf numFmtId="166" fontId="6" fillId="0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3" borderId="2" applyAlignment="1" pivotButton="0" quotePrefix="0" xfId="0">
      <alignment horizontal="general" vertical="bottom"/>
    </xf>
    <xf numFmtId="166" fontId="6" fillId="3" borderId="2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5" fillId="4" borderId="4" applyAlignment="1" pivotButton="0" quotePrefix="0" xfId="0">
      <alignment horizontal="center" wrapText="1"/>
    </xf>
    <xf numFmtId="0" fontId="7" fillId="2" borderId="4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164" fontId="6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164" fontId="5" fillId="0" borderId="4" applyAlignment="1" pivotButton="0" quotePrefix="0" xfId="0">
      <alignment horizontal="general" vertical="bottom"/>
    </xf>
    <xf numFmtId="164" fontId="8" fillId="0" borderId="4" applyAlignment="1" pivotButton="0" quotePrefix="0" xfId="0">
      <alignment horizontal="general" vertical="bottom"/>
    </xf>
    <xf numFmtId="165" fontId="6" fillId="0" borderId="4" applyAlignment="1" pivotButton="0" quotePrefix="0" xfId="0">
      <alignment horizontal="general" vertical="bottom"/>
    </xf>
    <xf numFmtId="3" fontId="9" fillId="0" borderId="4" applyAlignment="1" pivotButton="0" quotePrefix="0" xfId="0">
      <alignment horizontal="general" vertical="bottom"/>
    </xf>
    <xf numFmtId="0" fontId="0" fillId="0" borderId="4" pivotButton="0" quotePrefix="0" xfId="0"/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general" vertical="bottom"/>
    </xf>
    <xf numFmtId="0" fontId="9" fillId="3" borderId="2" applyAlignment="1" pivotButton="0" quotePrefix="0" xfId="0">
      <alignment horizontal="general" vertical="bottom"/>
    </xf>
    <xf numFmtId="164" fontId="9" fillId="3" borderId="2" applyAlignment="1" pivotButton="0" quotePrefix="0" xfId="0">
      <alignment horizontal="general" vertical="bottom"/>
    </xf>
    <xf numFmtId="164" fontId="6" fillId="3" borderId="2" applyAlignment="1" pivotButton="0" quotePrefix="0" xfId="0">
      <alignment horizontal="general" vertical="bottom"/>
    </xf>
    <xf numFmtId="164" fontId="15" fillId="4" borderId="4" applyAlignment="1" pivotButton="0" quotePrefix="0" xfId="0">
      <alignment horizontal="center" wrapText="1"/>
    </xf>
    <xf numFmtId="0" fontId="6" fillId="3" borderId="4" applyAlignment="1" pivotButton="0" quotePrefix="0" xfId="0">
      <alignment horizontal="general" vertical="bottom"/>
    </xf>
    <xf numFmtId="0" fontId="9" fillId="3" borderId="4" applyAlignment="1" pivotButton="0" quotePrefix="0" xfId="0">
      <alignment horizontal="general" vertical="bottom"/>
    </xf>
    <xf numFmtId="3" fontId="9" fillId="3" borderId="4" applyAlignment="1" pivotButton="0" quotePrefix="0" xfId="0">
      <alignment horizontal="general" vertical="bottom"/>
    </xf>
    <xf numFmtId="164" fontId="6" fillId="3" borderId="4" applyAlignment="1" pivotButton="0" quotePrefix="0" xfId="0">
      <alignment horizontal="general" vertical="bottom"/>
    </xf>
    <xf numFmtId="0" fontId="9" fillId="0" borderId="4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64" fontId="6" fillId="0" borderId="2" applyAlignment="1" pivotButton="0" quotePrefix="0" xfId="0">
      <alignment horizontal="general" vertical="bottom"/>
    </xf>
    <xf numFmtId="166" fontId="6" fillId="0" borderId="2" applyAlignment="1" pivotButton="0" quotePrefix="0" xfId="0">
      <alignment horizontal="general" vertical="bottom"/>
    </xf>
    <xf numFmtId="166" fontId="15" fillId="4" borderId="4" applyAlignment="1" pivotButton="0" quotePrefix="0" xfId="0">
      <alignment horizontal="center" wrapText="1"/>
    </xf>
    <xf numFmtId="166" fontId="6" fillId="0" borderId="4" applyAlignment="1" pivotButton="0" quotePrefix="0" xfId="0">
      <alignment horizontal="general" vertical="bottom"/>
    </xf>
    <xf numFmtId="0" fontId="16" fillId="0" borderId="0" pivotButton="0" quotePrefix="0" xfId="0"/>
    <xf numFmtId="9" fontId="0" fillId="0" borderId="4" pivotButton="0" quotePrefix="0" xfId="0"/>
    <xf numFmtId="3" fontId="0" fillId="0" borderId="4" pivotButton="0" quotePrefix="0" xfId="0"/>
    <xf numFmtId="0" fontId="17" fillId="5" borderId="4" pivotButton="0" quotePrefix="0" xfId="0"/>
    <xf numFmtId="3" fontId="17" fillId="5" borderId="4" pivotButton="0" quotePrefix="0" xfId="0"/>
    <xf numFmtId="0" fontId="18" fillId="0" borderId="0" pivotButton="0" quotePrefix="0" xfId="0"/>
    <xf numFmtId="0" fontId="19" fillId="0" borderId="0" pivotButton="0" quotePrefix="0" xfId="0"/>
    <xf numFmtId="3" fontId="18" fillId="0" borderId="0" pivotButton="0" quotePrefix="0" xfId="0"/>
    <xf numFmtId="0" fontId="20" fillId="4" borderId="0" pivotButton="0" quotePrefix="0" xfId="0"/>
    <xf numFmtId="3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8064A2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FF9900"/>
      <rgbColor rgb="FFFF6600"/>
      <rgbColor rgb="FF7D5FA0"/>
      <rgbColor rgb="FF9BBB59"/>
      <rgbColor rgb="FF1F3864"/>
      <rgbColor rgb="FF46AAC4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Revenue After Advertising, Year 1-5 (KSh)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'Executive Summary'!$B$4:$F$4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'Executive Summary'!$B$9</f>
              <numCache>
                <formatCode>"KSh "#,##0;"(KSh "#,##0\);\-</formatCode>
                <ptCount val="1"/>
                <pt idx="0">
                  <v>207045000</v>
                </pt>
              </numCache>
            </numRef>
          </val>
          <smooth val="1"/>
        </ser>
        <ser>
          <idx val="1"/>
          <order val="1"/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'Executive Summary'!$B$4:$F$4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'Executive Summary'!$C$9</f>
              <numCache>
                <formatCode>"KSh "#,##0;"(KSh "#,##0\);\-</formatCode>
                <ptCount val="1"/>
                <pt idx="0">
                  <v>873090000</v>
                </pt>
              </numCache>
            </numRef>
          </val>
          <smooth val="1"/>
        </ser>
        <ser>
          <idx val="2"/>
          <order val="2"/>
          <spPr>
            <a:solidFill xmlns:a="http://schemas.openxmlformats.org/drawingml/2006/main">
              <a:srgbClr val="98b855"/>
            </a:solidFill>
            <a:ln xmlns:a="http://schemas.openxmlformats.org/drawingml/2006/main" w="28440">
              <a:solidFill>
                <a:srgbClr val="98b85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'Executive Summary'!$B$4:$F$4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'Executive Summary'!$D$9</f>
              <numCache>
                <formatCode>"KSh "#,##0;"(KSh "#,##0\);\-</formatCode>
                <ptCount val="1"/>
                <pt idx="0">
                  <v>2005526250</v>
                </pt>
              </numCache>
            </numRef>
          </val>
          <smooth val="1"/>
        </ser>
        <ser>
          <idx val="3"/>
          <order val="3"/>
          <spPr>
            <a:solidFill xmlns:a="http://schemas.openxmlformats.org/drawingml/2006/main">
              <a:srgbClr val="7d5fa0"/>
            </a:solidFill>
            <a:ln xmlns:a="http://schemas.openxmlformats.org/drawingml/2006/main" w="28440">
              <a:solidFill>
                <a:srgbClr val="7d5fa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'Executive Summary'!$B$4:$F$4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'Executive Summary'!$E$9</f>
              <numCache>
                <formatCode>"KSh "#,##0;"(KSh "#,##0\);\-</formatCode>
                <ptCount val="1"/>
                <pt idx="0">
                  <v>3359439000</v>
                </pt>
              </numCache>
            </numRef>
          </val>
          <smooth val="1"/>
        </ser>
        <ser>
          <idx val="4"/>
          <order val="4"/>
          <spPr>
            <a:solidFill xmlns:a="http://schemas.openxmlformats.org/drawingml/2006/main">
              <a:srgbClr val="46aac4"/>
            </a:solidFill>
            <a:ln xmlns:a="http://schemas.openxmlformats.org/drawingml/2006/main" w="28440">
              <a:solidFill>
                <a:srgbClr val="46aac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'Executive Summary'!$B$4:$F$4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'Executive Summary'!$F$9</f>
              <numCache>
                <formatCode>"KSh "#,##0;"(KSh "#,##0\);\-</formatCode>
                <ptCount val="1"/>
                <pt idx="0">
                  <v>4493458500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96984759"/>
        <axId val="97621649"/>
      </lineChart>
      <catAx>
        <axId val="969847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7621649"/>
        <crosses val="autoZero"/>
        <auto val="1"/>
        <lblAlgn val="ctr"/>
        <lblOffset val="100"/>
        <noMultiLvlLbl val="0"/>
      </catAx>
      <valAx>
        <axId val="9762164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KSh &quot;#,##0;&quot;(KSh &quot;#,##0\);\-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698475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Category, Year 1-5 (KSh)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'Category Summary'!B1</f>
              <strCache>
                <ptCount val="1"/>
                <pt idx="0">
                  <v>Year 1 (KSh)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'Category Summary'!$A$2:$A$14</f>
              <strCache>
                <ptCount val="13"/>
                <pt idx="0">
                  <v>A. Agriculture</v>
                </pt>
                <pt idx="1">
                  <v>B. Minerals</v>
                </pt>
                <pt idx="2">
                  <v>C. Industrial &amp; SEZ</v>
                </pt>
                <pt idx="3">
                  <v>D. Energy &amp; Infra</v>
                </pt>
                <pt idx="4">
                  <v>E. Real Estate</v>
                </pt>
                <pt idx="5">
                  <v>F. Tourism</v>
                </pt>
                <pt idx="6">
                  <v>G. Commerce &amp; Discovery</v>
                </pt>
                <pt idx="7">
                  <v>H. Logistics</v>
                </pt>
                <pt idx="8">
                  <v>I. Financial Services</v>
                </pt>
                <pt idx="9">
                  <v>J. Government</v>
                </pt>
                <pt idx="10">
                  <v>K. Additional Sectors</v>
                </pt>
                <pt idx="11">
                  <v>L. RE Rental Expansion</v>
                </pt>
                <pt idx="12">
                  <v>M. Flagship &amp; Investment</v>
                </pt>
              </strCache>
            </strRef>
          </cat>
          <val>
            <numRef>
              <f>'Category Summary'!$B$2:$B$14</f>
              <numCache>
                <formatCode>"KSh "#,##0;"(KSh "#,##0\);\-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49500000</v>
                </pt>
                <pt idx="5">
                  <v>78750000</v>
                </pt>
                <pt idx="6">
                  <v>109125000</v>
                </pt>
                <pt idx="7">
                  <v>0</v>
                </pt>
                <pt idx="8">
                  <v>0</v>
                </pt>
                <pt idx="9">
                  <v>3375000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1"/>
          <order val="1"/>
          <tx>
            <strRef>
              <f>'Category Summary'!C1</f>
              <strCache>
                <ptCount val="1"/>
                <pt idx="0">
                  <v>Year 2 (KSh)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'Category Summary'!$A$2:$A$14</f>
              <strCache>
                <ptCount val="13"/>
                <pt idx="0">
                  <v>A. Agriculture</v>
                </pt>
                <pt idx="1">
                  <v>B. Minerals</v>
                </pt>
                <pt idx="2">
                  <v>C. Industrial &amp; SEZ</v>
                </pt>
                <pt idx="3">
                  <v>D. Energy &amp; Infra</v>
                </pt>
                <pt idx="4">
                  <v>E. Real Estate</v>
                </pt>
                <pt idx="5">
                  <v>F. Tourism</v>
                </pt>
                <pt idx="6">
                  <v>G. Commerce &amp; Discovery</v>
                </pt>
                <pt idx="7">
                  <v>H. Logistics</v>
                </pt>
                <pt idx="8">
                  <v>I. Financial Services</v>
                </pt>
                <pt idx="9">
                  <v>J. Government</v>
                </pt>
                <pt idx="10">
                  <v>K. Additional Sectors</v>
                </pt>
                <pt idx="11">
                  <v>L. RE Rental Expansion</v>
                </pt>
                <pt idx="12">
                  <v>M. Flagship &amp; Investment</v>
                </pt>
              </strCache>
            </strRef>
          </cat>
          <val>
            <numRef>
              <f>'Category Summary'!$C$2:$C$14</f>
              <numCache>
                <formatCode>"KSh "#,##0;"(KSh "#,##0\);\-</formatCode>
                <ptCount val="13"/>
                <pt idx="0">
                  <v>121500000</v>
                </pt>
                <pt idx="1">
                  <v>0</v>
                </pt>
                <pt idx="2">
                  <v>5625000</v>
                </pt>
                <pt idx="3">
                  <v>0</v>
                </pt>
                <pt idx="4">
                  <v>167625000</v>
                </pt>
                <pt idx="5">
                  <v>258750000</v>
                </pt>
                <pt idx="6">
                  <v>327375000</v>
                </pt>
                <pt idx="7">
                  <v>0</v>
                </pt>
                <pt idx="8">
                  <v>11250000</v>
                </pt>
                <pt idx="9">
                  <v>25875000</v>
                </pt>
                <pt idx="10">
                  <v>0</v>
                </pt>
                <pt idx="11">
                  <v>63000000</v>
                </pt>
                <pt idx="12">
                  <v>0</v>
                </pt>
              </numCache>
            </numRef>
          </val>
        </ser>
        <ser>
          <idx val="2"/>
          <order val="2"/>
          <tx>
            <strRef>
              <f>'Category Summary'!D1</f>
              <strCache>
                <ptCount val="1"/>
                <pt idx="0">
                  <v>Year 3 (KSh)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'Category Summary'!$A$2:$A$14</f>
              <strCache>
                <ptCount val="13"/>
                <pt idx="0">
                  <v>A. Agriculture</v>
                </pt>
                <pt idx="1">
                  <v>B. Minerals</v>
                </pt>
                <pt idx="2">
                  <v>C. Industrial &amp; SEZ</v>
                </pt>
                <pt idx="3">
                  <v>D. Energy &amp; Infra</v>
                </pt>
                <pt idx="4">
                  <v>E. Real Estate</v>
                </pt>
                <pt idx="5">
                  <v>F. Tourism</v>
                </pt>
                <pt idx="6">
                  <v>G. Commerce &amp; Discovery</v>
                </pt>
                <pt idx="7">
                  <v>H. Logistics</v>
                </pt>
                <pt idx="8">
                  <v>I. Financial Services</v>
                </pt>
                <pt idx="9">
                  <v>J. Government</v>
                </pt>
                <pt idx="10">
                  <v>K. Additional Sectors</v>
                </pt>
                <pt idx="11">
                  <v>L. RE Rental Expansion</v>
                </pt>
                <pt idx="12">
                  <v>M. Flagship &amp; Investment</v>
                </pt>
              </strCache>
            </strRef>
          </cat>
          <val>
            <numRef>
              <f>'Category Summary'!$D$2:$D$14</f>
              <numCache>
                <formatCode>"KSh "#,##0;"(KSh "#,##0\);\-</formatCode>
                <ptCount val="13"/>
                <pt idx="0">
                  <v>427500000</v>
                </pt>
                <pt idx="1">
                  <v>61875000</v>
                </pt>
                <pt idx="2">
                  <v>38250000</v>
                </pt>
                <pt idx="3">
                  <v>0</v>
                </pt>
                <pt idx="4">
                  <v>304875000</v>
                </pt>
                <pt idx="5">
                  <v>478125000</v>
                </pt>
                <pt idx="6">
                  <v>558000000</v>
                </pt>
                <pt idx="7">
                  <v>32625000</v>
                </pt>
                <pt idx="8">
                  <v>33750000</v>
                </pt>
                <pt idx="9">
                  <v>64125000</v>
                </pt>
                <pt idx="10">
                  <v>15750000</v>
                </pt>
                <pt idx="11">
                  <v>189000000</v>
                </pt>
                <pt idx="12">
                  <v>0</v>
                </pt>
              </numCache>
            </numRef>
          </val>
        </ser>
        <ser>
          <idx val="3"/>
          <order val="3"/>
          <tx>
            <strRef>
              <f>'Category Summary'!E1</f>
              <strCache>
                <ptCount val="1"/>
                <pt idx="0">
                  <v>Year 4 (KSh)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'Category Summary'!$A$2:$A$14</f>
              <strCache>
                <ptCount val="13"/>
                <pt idx="0">
                  <v>A. Agriculture</v>
                </pt>
                <pt idx="1">
                  <v>B. Minerals</v>
                </pt>
                <pt idx="2">
                  <v>C. Industrial &amp; SEZ</v>
                </pt>
                <pt idx="3">
                  <v>D. Energy &amp; Infra</v>
                </pt>
                <pt idx="4">
                  <v>E. Real Estate</v>
                </pt>
                <pt idx="5">
                  <v>F. Tourism</v>
                </pt>
                <pt idx="6">
                  <v>G. Commerce &amp; Discovery</v>
                </pt>
                <pt idx="7">
                  <v>H. Logistics</v>
                </pt>
                <pt idx="8">
                  <v>I. Financial Services</v>
                </pt>
                <pt idx="9">
                  <v>J. Government</v>
                </pt>
                <pt idx="10">
                  <v>K. Additional Sectors</v>
                </pt>
                <pt idx="11">
                  <v>L. RE Rental Expansion</v>
                </pt>
                <pt idx="12">
                  <v>M. Flagship &amp; Investment</v>
                </pt>
              </strCache>
            </strRef>
          </cat>
          <val>
            <numRef>
              <f>'Category Summary'!$E$2:$E$14</f>
              <numCache>
                <formatCode>"KSh "#,##0;"(KSh "#,##0\);\-</formatCode>
                <ptCount val="13"/>
                <pt idx="0">
                  <v>832500000</v>
                </pt>
                <pt idx="1">
                  <v>187425000</v>
                </pt>
                <pt idx="2">
                  <v>96750000</v>
                </pt>
                <pt idx="3">
                  <v>16875000</v>
                </pt>
                <pt idx="4">
                  <v>409125000</v>
                </pt>
                <pt idx="5">
                  <v>661875000</v>
                </pt>
                <pt idx="6">
                  <v>728250000</v>
                </pt>
                <pt idx="7">
                  <v>97875000</v>
                </pt>
                <pt idx="8">
                  <v>83250000</v>
                </pt>
                <pt idx="9">
                  <v>100125000</v>
                </pt>
                <pt idx="10">
                  <v>63000000</v>
                </pt>
                <pt idx="11">
                  <v>315000000</v>
                </pt>
                <pt idx="12">
                  <v>20250000</v>
                </pt>
              </numCache>
            </numRef>
          </val>
        </ser>
        <ser>
          <idx val="4"/>
          <order val="4"/>
          <tx>
            <strRef>
              <f>'Category Summary'!F1</f>
              <strCache>
                <ptCount val="1"/>
                <pt idx="0">
                  <v>Year 5 (KSh)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'Category Summary'!$A$2:$A$14</f>
              <strCache>
                <ptCount val="13"/>
                <pt idx="0">
                  <v>A. Agriculture</v>
                </pt>
                <pt idx="1">
                  <v>B. Minerals</v>
                </pt>
                <pt idx="2">
                  <v>C. Industrial &amp; SEZ</v>
                </pt>
                <pt idx="3">
                  <v>D. Energy &amp; Infra</v>
                </pt>
                <pt idx="4">
                  <v>E. Real Estate</v>
                </pt>
                <pt idx="5">
                  <v>F. Tourism</v>
                </pt>
                <pt idx="6">
                  <v>G. Commerce &amp; Discovery</v>
                </pt>
                <pt idx="7">
                  <v>H. Logistics</v>
                </pt>
                <pt idx="8">
                  <v>I. Financial Services</v>
                </pt>
                <pt idx="9">
                  <v>J. Government</v>
                </pt>
                <pt idx="10">
                  <v>K. Additional Sectors</v>
                </pt>
                <pt idx="11">
                  <v>L. RE Rental Expansion</v>
                </pt>
                <pt idx="12">
                  <v>M. Flagship &amp; Investment</v>
                </pt>
              </strCache>
            </strRef>
          </cat>
          <val>
            <numRef>
              <f>'Category Summary'!$F$2:$F$14</f>
              <numCache>
                <formatCode>"KSh "#,##0;"(KSh "#,##0\);\-</formatCode>
                <ptCount val="13"/>
                <pt idx="0">
                  <v>1192500000</v>
                </pt>
                <pt idx="1">
                  <v>314775000</v>
                </pt>
                <pt idx="2">
                  <v>156000000</v>
                </pt>
                <pt idx="3">
                  <v>52875000</v>
                </pt>
                <pt idx="4">
                  <v>451125000</v>
                </pt>
                <pt idx="5">
                  <v>751875000</v>
                </pt>
                <pt idx="6">
                  <v>789375000</v>
                </pt>
                <pt idx="7">
                  <v>163125000</v>
                </pt>
                <pt idx="8">
                  <v>165750000</v>
                </pt>
                <pt idx="9">
                  <v>122250000</v>
                </pt>
                <pt idx="10">
                  <v>126000000</v>
                </pt>
                <pt idx="11">
                  <v>399000000</v>
                </pt>
                <pt idx="12">
                  <v>95625000</v>
                </pt>
              </numCache>
            </numRef>
          </val>
        </ser>
        <gapWidth val="150"/>
        <overlap val="100"/>
        <axId val="54978526"/>
        <axId val="41723059"/>
      </barChart>
      <catAx>
        <axId val="5497852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1723059"/>
        <crosses val="autoZero"/>
        <auto val="1"/>
        <lblAlgn val="ctr"/>
        <lblOffset val="100"/>
        <noMultiLvlLbl val="0"/>
      </catAx>
      <valAx>
        <axId val="417230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KSh &quot;#,##0;&quot;(KSh &quot;#,##0\);\-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497852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23</row>
      <rowOff>145440</rowOff>
    </from>
    <to>
      <col>4</col>
      <colOff>276840</colOff>
      <row>40</row>
      <rowOff>146520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17</row>
      <rowOff>0</rowOff>
    </from>
    <to>
      <col>5</col>
      <colOff>1011960</colOff>
      <row>35</row>
      <rowOff>170640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5" min="1" max="1"/>
    <col width="18" customWidth="1" style="35" min="2" max="6"/>
    <col width="14" customWidth="1" style="35" min="7" max="7"/>
    <col width="40" customWidth="1" style="35" min="8" max="8"/>
  </cols>
  <sheetData>
    <row r="1" ht="18.55" customHeight="1" s="36">
      <c r="A1" s="37" t="inlineStr">
        <is>
          <t>KICC — 87-Pipeline Revenue Model: Executive Summary</t>
        </is>
      </c>
    </row>
    <row r="2" ht="15" customHeight="1" s="36">
      <c r="A2" s="38" t="inlineStr">
        <is>
          <t>Phased-launch, ramp-adjusted projection across all 87 catalog pipelines, net of advertising &amp; media cost. Figures are modeled estimates — see Assumptions tab.</t>
        </is>
      </c>
    </row>
    <row r="3" ht="15" customHeight="1" s="36">
      <c r="A3" s="39" t="n"/>
      <c r="B3" s="39" t="n"/>
      <c r="C3" s="39" t="n"/>
      <c r="D3" s="39" t="n"/>
      <c r="E3" s="39" t="n"/>
      <c r="F3" s="39" t="n"/>
      <c r="G3" s="39" t="n"/>
      <c r="H3" s="39" t="n"/>
    </row>
    <row r="4" ht="15" customHeight="1" s="36">
      <c r="A4" s="40" t="inlineStr">
        <is>
          <t>Year</t>
        </is>
      </c>
      <c r="B4" s="40" t="inlineStr">
        <is>
          <t>Year 1</t>
        </is>
      </c>
      <c r="C4" s="40" t="inlineStr">
        <is>
          <t>Year 2</t>
        </is>
      </c>
      <c r="D4" s="40" t="inlineStr">
        <is>
          <t>Year 3</t>
        </is>
      </c>
      <c r="E4" s="40" t="inlineStr">
        <is>
          <t>Year 4</t>
        </is>
      </c>
      <c r="F4" s="40" t="inlineStr">
        <is>
          <t>Year 5</t>
        </is>
      </c>
      <c r="G4" s="41" t="n"/>
      <c r="H4" s="41" t="n"/>
    </row>
    <row r="5" ht="15" customHeight="1" s="36">
      <c r="A5" s="42" t="inlineStr">
        <is>
          <t>Gross revenue (KSh/yr)</t>
        </is>
      </c>
      <c r="B5" s="43">
        <f>'Pipeline Model'!F90</f>
        <v/>
      </c>
      <c r="C5" s="43">
        <f>'Pipeline Model'!G90</f>
        <v/>
      </c>
      <c r="D5" s="43">
        <f>'Pipeline Model'!H90</f>
        <v/>
      </c>
      <c r="E5" s="43">
        <f>'Pipeline Model'!I90</f>
        <v/>
      </c>
      <c r="F5" s="43">
        <f>'Pipeline Model'!J90</f>
        <v/>
      </c>
      <c r="G5" s="41" t="n"/>
      <c r="H5" s="41" t="n"/>
    </row>
    <row r="6" ht="15" customHeight="1" s="36">
      <c r="A6" s="41" t="inlineStr">
        <is>
          <t>Less: advertising &amp; media cost (KSh/yr)</t>
        </is>
      </c>
      <c r="B6" s="43">
        <f>-'Advertising &amp; Media Cost'!D18</f>
        <v/>
      </c>
      <c r="C6" s="43">
        <f>-'Advertising &amp; Media Cost'!G18</f>
        <v/>
      </c>
      <c r="D6" s="43">
        <f>-'Advertising &amp; Media Cost'!J18</f>
        <v/>
      </c>
      <c r="E6" s="43">
        <f>-'Advertising &amp; Media Cost'!M18</f>
        <v/>
      </c>
      <c r="F6" s="43">
        <f>-'Advertising &amp; Media Cost'!P18</f>
        <v/>
      </c>
      <c r="G6" s="41" t="n"/>
      <c r="H6" s="41" t="n"/>
    </row>
    <row r="7" ht="15" customHeight="1" s="36">
      <c r="A7" s="44" t="inlineStr">
        <is>
          <t xml:space="preserve">   of which: Screentime (TV/digital/OOH)</t>
        </is>
      </c>
      <c r="B7" s="45">
        <f>'Advertising &amp; Media Cost'!E18</f>
        <v/>
      </c>
      <c r="C7" s="45">
        <f>'Advertising &amp; Media Cost'!H18</f>
        <v/>
      </c>
      <c r="D7" s="45">
        <f>'Advertising &amp; Media Cost'!K18</f>
        <v/>
      </c>
      <c r="E7" s="45">
        <f>'Advertising &amp; Media Cost'!N18</f>
        <v/>
      </c>
      <c r="F7" s="45">
        <f>'Advertising &amp; Media Cost'!Q18</f>
        <v/>
      </c>
      <c r="G7" s="41" t="n"/>
      <c r="H7" s="41" t="n"/>
    </row>
    <row r="8" ht="15" customHeight="1" s="36">
      <c r="A8" s="44" t="inlineStr">
        <is>
          <t xml:space="preserve">   of which: Airtime (radio/mobile)</t>
        </is>
      </c>
      <c r="B8" s="45">
        <f>'Advertising &amp; Media Cost'!F18</f>
        <v/>
      </c>
      <c r="C8" s="45">
        <f>'Advertising &amp; Media Cost'!I18</f>
        <v/>
      </c>
      <c r="D8" s="45">
        <f>'Advertising &amp; Media Cost'!L18</f>
        <v/>
      </c>
      <c r="E8" s="45">
        <f>'Advertising &amp; Media Cost'!O18</f>
        <v/>
      </c>
      <c r="F8" s="45">
        <f>'Advertising &amp; Media Cost'!R18</f>
        <v/>
      </c>
      <c r="G8" s="41" t="n"/>
      <c r="H8" s="41" t="n"/>
    </row>
    <row r="9" ht="15" customHeight="1" s="36">
      <c r="A9" s="42" t="inlineStr">
        <is>
          <t>Net revenue after advertising (KSh/yr)</t>
        </is>
      </c>
      <c r="B9" s="46">
        <f>B5+B6</f>
        <v/>
      </c>
      <c r="C9" s="46">
        <f>C5+C6</f>
        <v/>
      </c>
      <c r="D9" s="46">
        <f>D5+D6</f>
        <v/>
      </c>
      <c r="E9" s="46">
        <f>E5+E6</f>
        <v/>
      </c>
      <c r="F9" s="46">
        <f>F5+F6</f>
        <v/>
      </c>
      <c r="G9" s="41" t="n"/>
      <c r="H9" s="41" t="n"/>
    </row>
    <row r="10" ht="15" customHeight="1" s="36">
      <c r="A10" s="41" t="inlineStr">
        <is>
          <t>Net revenue after advertising (USD/yr)</t>
        </is>
      </c>
      <c r="B10" s="47">
        <f>B9/Assumptions!$C$3</f>
        <v/>
      </c>
      <c r="C10" s="47">
        <f>C9/Assumptions!$C$3</f>
        <v/>
      </c>
      <c r="D10" s="47">
        <f>D9/Assumptions!$C$3</f>
        <v/>
      </c>
      <c r="E10" s="47">
        <f>E9/Assumptions!$C$3</f>
        <v/>
      </c>
      <c r="F10" s="47">
        <f>F9/Assumptions!$C$3</f>
        <v/>
      </c>
      <c r="G10" s="41" t="n"/>
      <c r="H10" s="41" t="n"/>
    </row>
    <row r="11" ht="15" customHeight="1" s="36">
      <c r="A11" s="41" t="inlineStr">
        <is>
          <t>Net run-rate at year-end (USD/month)</t>
        </is>
      </c>
      <c r="B11" s="47">
        <f>B10/12</f>
        <v/>
      </c>
      <c r="C11" s="47">
        <f>C10/12</f>
        <v/>
      </c>
      <c r="D11" s="47">
        <f>D10/12</f>
        <v/>
      </c>
      <c r="E11" s="47">
        <f>E10/12</f>
        <v/>
      </c>
      <c r="F11" s="47">
        <f>F10/12</f>
        <v/>
      </c>
      <c r="G11" s="41" t="n"/>
      <c r="H11" s="41" t="n"/>
    </row>
    <row r="12" ht="15" customHeight="1" s="36">
      <c r="A12" s="41" t="inlineStr">
        <is>
          <t>Target run-rate (USD/month)</t>
        </is>
      </c>
      <c r="B12" s="48" t="n">
        <v>12000000</v>
      </c>
      <c r="C12" s="48" t="n">
        <v>12000000</v>
      </c>
      <c r="D12" s="48" t="n">
        <v>12000000</v>
      </c>
      <c r="E12" s="48" t="n">
        <v>12000000</v>
      </c>
      <c r="F12" s="48" t="n">
        <v>12000000</v>
      </c>
      <c r="G12" s="41" t="n"/>
      <c r="H12" s="41" t="n"/>
    </row>
    <row r="13" ht="15" customHeight="1" s="36">
      <c r="A13" s="41" t="inlineStr">
        <is>
          <t>Gap to target (USD/month)</t>
        </is>
      </c>
      <c r="B13" s="47">
        <f>B11-B12</f>
        <v/>
      </c>
      <c r="C13" s="47">
        <f>C11-C12</f>
        <v/>
      </c>
      <c r="D13" s="47">
        <f>D11-D12</f>
        <v/>
      </c>
      <c r="E13" s="47">
        <f>E11-E12</f>
        <v/>
      </c>
      <c r="F13" s="47">
        <f>F11-F12</f>
        <v/>
      </c>
      <c r="G13" s="41" t="n"/>
      <c r="H13" s="41" t="n"/>
    </row>
    <row r="14" ht="15" customHeight="1" s="36">
      <c r="A14" s="41" t="n"/>
      <c r="B14" s="41" t="n"/>
      <c r="C14" s="41" t="n"/>
      <c r="D14" s="41" t="n"/>
      <c r="E14" s="41" t="n"/>
      <c r="F14" s="41" t="n"/>
      <c r="G14" s="41" t="n"/>
      <c r="H14" s="41" t="n"/>
    </row>
    <row r="15" ht="15" customHeight="1" s="36">
      <c r="A15" s="42" t="inlineStr">
        <is>
          <t>Key takeaways</t>
        </is>
      </c>
      <c r="B15" s="41" t="n"/>
      <c r="C15" s="41" t="n"/>
      <c r="D15" s="41" t="n"/>
      <c r="E15" s="41" t="n"/>
      <c r="F15" s="41" t="n"/>
      <c r="G15" s="41" t="n"/>
      <c r="H15" s="41" t="n"/>
    </row>
    <row r="16" ht="15" customHeight="1" s="36">
      <c r="A16" s="41" t="inlineStr">
        <is>
          <t>- Revenue compounds as later-wave pipelines (minerals, energy, financial services, flagship/investment) come</t>
        </is>
      </c>
      <c r="B16" s="83" t="n"/>
      <c r="C16" s="83" t="n"/>
      <c r="D16" s="83" t="n"/>
      <c r="E16" s="83" t="n"/>
      <c r="F16" s="83" t="n"/>
      <c r="G16" s="83" t="n"/>
      <c r="H16" s="84" t="n"/>
    </row>
    <row r="17" ht="15" customHeight="1" s="36">
      <c r="A17" s="41" t="inlineStr">
        <is>
          <t xml:space="preserve">  online and earlier waves (real estate, tourism, marketplace) mature past their ramp period.</t>
        </is>
      </c>
      <c r="B17" s="83" t="n"/>
      <c r="C17" s="83" t="n"/>
      <c r="D17" s="83" t="n"/>
      <c r="E17" s="83" t="n"/>
      <c r="F17" s="83" t="n"/>
      <c r="G17" s="83" t="n"/>
      <c r="H17" s="84" t="n"/>
    </row>
    <row r="18" ht="15" customHeight="1" s="36">
      <c r="A18" s="41" t="inlineStr">
        <is>
          <t>- Advertising &amp; media cost (screentime + airtime) is modeled as a declining share of revenue — KSh 33.7 million</t>
        </is>
      </c>
      <c r="B18" s="83" t="n"/>
      <c r="C18" s="83" t="n"/>
      <c r="D18" s="83" t="n"/>
      <c r="E18" s="83" t="n"/>
      <c r="F18" s="83" t="n"/>
      <c r="G18" s="83" t="n"/>
      <c r="H18" s="84" t="n"/>
    </row>
    <row r="19" ht="15" customHeight="1" s="36">
      <c r="A19" s="41" t="inlineStr">
        <is>
          <t xml:space="preserve">  in Year 1 rising to KSh 286.8 million in Year 5 — and is deducted before the net run-rate figures above.</t>
        </is>
      </c>
      <c r="B19" s="83" t="n"/>
      <c r="C19" s="83" t="n"/>
      <c r="D19" s="83" t="n"/>
      <c r="E19" s="83" t="n"/>
      <c r="F19" s="83" t="n"/>
      <c r="G19" s="83" t="n"/>
      <c r="H19" s="84" t="n"/>
    </row>
    <row r="20" ht="15" customHeight="1" s="36">
      <c r="A20" s="41" t="inlineStr">
        <is>
          <t>- Even net of advertising cost, the model lands short of a $12,000,000/month steady-state target by Year 5 —</t>
        </is>
      </c>
      <c r="B20" s="83" t="n"/>
      <c r="C20" s="83" t="n"/>
      <c r="D20" s="83" t="n"/>
      <c r="E20" s="83" t="n"/>
      <c r="F20" s="83" t="n"/>
      <c r="G20" s="83" t="n"/>
      <c r="H20" s="84" t="n"/>
    </row>
    <row r="21" ht="15" customHeight="1" s="36">
      <c r="A21" s="41" t="inlineStr">
        <is>
          <t xml:space="preserve">  the honest ceiling given realistic adoption ramps, not a shortfall to be closed by adding more pipelines.</t>
        </is>
      </c>
      <c r="B21" s="83" t="n"/>
      <c r="C21" s="83" t="n"/>
      <c r="D21" s="83" t="n"/>
      <c r="E21" s="83" t="n"/>
      <c r="F21" s="83" t="n"/>
      <c r="G21" s="83" t="n"/>
      <c r="H21" s="84" t="n"/>
    </row>
    <row r="22" ht="15" customHeight="1" s="36">
      <c r="A22" s="41" t="inlineStr">
        <is>
          <t>- Minerals, Energy, and Flagship/Investment lines are back-loaded (Year 3-5 launch) and licence/regulation-</t>
        </is>
      </c>
      <c r="B22" s="83" t="n"/>
      <c r="C22" s="83" t="n"/>
      <c r="D22" s="83" t="n"/>
      <c r="E22" s="83" t="n"/>
      <c r="F22" s="83" t="n"/>
      <c r="G22" s="83" t="n"/>
      <c r="H22" s="84" t="n"/>
    </row>
    <row r="23" ht="15" customHeight="1" s="36">
      <c r="A23" s="41" t="inlineStr">
        <is>
          <t xml:space="preserve">  gated in places (direct lending, equity), so they carry the most execution and regulatory risk in the model.</t>
        </is>
      </c>
      <c r="B23" s="83" t="n"/>
      <c r="C23" s="83" t="n"/>
      <c r="D23" s="83" t="n"/>
      <c r="E23" s="83" t="n"/>
      <c r="F23" s="83" t="n"/>
      <c r="G23" s="83" t="n"/>
      <c r="H23" s="84" t="n"/>
    </row>
    <row r="24" ht="15" customHeight="1" s="36">
      <c r="A24" s="41" t="n"/>
      <c r="B24" s="41" t="n"/>
      <c r="C24" s="41" t="n"/>
      <c r="D24" s="41" t="n"/>
      <c r="E24" s="41" t="n"/>
      <c r="F24" s="41" t="n"/>
      <c r="G24" s="41" t="n"/>
      <c r="H24" s="41" t="n"/>
    </row>
    <row r="25" ht="15" customHeight="1" s="36">
      <c r="A25" s="41" t="n"/>
      <c r="B25" s="41" t="n"/>
      <c r="C25" s="41" t="n"/>
      <c r="D25" s="41" t="n"/>
      <c r="E25" s="41" t="n"/>
      <c r="F25" s="41" t="n"/>
      <c r="G25" s="41" t="n"/>
      <c r="H25" s="41" t="n"/>
    </row>
    <row r="26" ht="15" customHeight="1" s="36">
      <c r="A26" s="41" t="n"/>
      <c r="B26" s="41" t="n"/>
      <c r="C26" s="41" t="n"/>
      <c r="D26" s="41" t="n"/>
      <c r="E26" s="41" t="n"/>
      <c r="F26" s="41" t="n"/>
      <c r="G26" s="41" t="n"/>
      <c r="H26" s="41" t="n"/>
    </row>
    <row r="27" ht="15" customHeight="1" s="36">
      <c r="A27" s="41" t="n"/>
      <c r="B27" s="41" t="n"/>
      <c r="C27" s="41" t="n"/>
      <c r="D27" s="41" t="n"/>
      <c r="E27" s="41" t="n"/>
      <c r="F27" s="41" t="n"/>
      <c r="G27" s="41" t="n"/>
      <c r="H27" s="41" t="n"/>
    </row>
    <row r="28" ht="15" customHeight="1" s="36">
      <c r="A28" s="41" t="n"/>
      <c r="B28" s="41" t="n"/>
      <c r="C28" s="41" t="n"/>
      <c r="D28" s="41" t="n"/>
      <c r="E28" s="41" t="n"/>
      <c r="F28" s="41" t="n"/>
      <c r="G28" s="41" t="n"/>
      <c r="H28" s="41" t="n"/>
    </row>
    <row r="29" ht="15" customHeight="1" s="36">
      <c r="A29" s="41" t="n"/>
      <c r="B29" s="41" t="n"/>
      <c r="C29" s="41" t="n"/>
      <c r="D29" s="41" t="n"/>
      <c r="E29" s="41" t="n"/>
      <c r="F29" s="41" t="n"/>
      <c r="G29" s="41" t="n"/>
      <c r="H29" s="41" t="n"/>
    </row>
    <row r="30" ht="15" customHeight="1" s="36">
      <c r="A30" s="41" t="n"/>
      <c r="B30" s="41" t="n"/>
      <c r="C30" s="41" t="n"/>
      <c r="D30" s="41" t="n"/>
      <c r="E30" s="41" t="n"/>
      <c r="F30" s="41" t="n"/>
      <c r="G30" s="41" t="n"/>
      <c r="H30" s="41" t="n"/>
    </row>
    <row r="31" ht="15" customHeight="1" s="36">
      <c r="A31" s="41" t="n"/>
      <c r="B31" s="41" t="n"/>
      <c r="C31" s="41" t="n"/>
      <c r="D31" s="41" t="n"/>
      <c r="E31" s="41" t="n"/>
      <c r="F31" s="41" t="n"/>
      <c r="G31" s="41" t="n"/>
      <c r="H31" s="41" t="n"/>
    </row>
    <row r="32" ht="15" customHeight="1" s="36">
      <c r="A32" s="41" t="n"/>
      <c r="B32" s="41" t="n"/>
      <c r="C32" s="41" t="n"/>
      <c r="D32" s="41" t="n"/>
      <c r="E32" s="41" t="n"/>
      <c r="F32" s="41" t="n"/>
      <c r="G32" s="41" t="n"/>
      <c r="H32" s="41" t="n"/>
    </row>
    <row r="33" ht="15" customHeight="1" s="36">
      <c r="A33" s="41" t="n"/>
      <c r="B33" s="41" t="n"/>
      <c r="C33" s="41" t="n"/>
      <c r="D33" s="41" t="n"/>
      <c r="E33" s="41" t="n"/>
      <c r="F33" s="41" t="n"/>
      <c r="G33" s="41" t="n"/>
      <c r="H33" s="41" t="n"/>
    </row>
    <row r="34" ht="15" customHeight="1" s="36">
      <c r="A34" s="41" t="n"/>
      <c r="B34" s="41" t="n"/>
      <c r="C34" s="41" t="n"/>
      <c r="D34" s="41" t="n"/>
      <c r="E34" s="41" t="n"/>
      <c r="F34" s="41" t="n"/>
      <c r="G34" s="41" t="n"/>
      <c r="H34" s="41" t="n"/>
    </row>
    <row r="35" ht="15" customHeight="1" s="36">
      <c r="A35" s="41" t="n"/>
      <c r="B35" s="41" t="n"/>
      <c r="C35" s="41" t="n"/>
      <c r="D35" s="41" t="n"/>
      <c r="E35" s="41" t="n"/>
      <c r="F35" s="41" t="n"/>
      <c r="G35" s="41" t="n"/>
      <c r="H35" s="41" t="n"/>
    </row>
    <row r="36" ht="15" customHeight="1" s="36">
      <c r="A36" s="41" t="n"/>
      <c r="B36" s="41" t="n"/>
      <c r="C36" s="41" t="n"/>
      <c r="D36" s="41" t="n"/>
      <c r="E36" s="41" t="n"/>
      <c r="F36" s="41" t="n"/>
      <c r="G36" s="41" t="n"/>
      <c r="H36" s="41" t="n"/>
    </row>
    <row r="37" ht="15" customHeight="1" s="36">
      <c r="A37" s="41" t="n"/>
      <c r="B37" s="41" t="n"/>
      <c r="C37" s="41" t="n"/>
      <c r="D37" s="41" t="n"/>
      <c r="E37" s="41" t="n"/>
      <c r="F37" s="41" t="n"/>
      <c r="G37" s="41" t="n"/>
      <c r="H37" s="41" t="n"/>
    </row>
    <row r="38" ht="15" customHeight="1" s="36">
      <c r="A38" s="41" t="n"/>
      <c r="B38" s="41" t="n"/>
      <c r="C38" s="41" t="n"/>
      <c r="D38" s="41" t="n"/>
      <c r="E38" s="41" t="n"/>
      <c r="F38" s="41" t="n"/>
      <c r="G38" s="41" t="n"/>
      <c r="H38" s="41" t="n"/>
    </row>
    <row r="39" ht="15" customHeight="1" s="36">
      <c r="A39" s="41" t="n"/>
      <c r="B39" s="41" t="n"/>
      <c r="C39" s="41" t="n"/>
      <c r="D39" s="41" t="n"/>
      <c r="E39" s="41" t="n"/>
      <c r="F39" s="41" t="n"/>
      <c r="G39" s="41" t="n"/>
      <c r="H39" s="41" t="n"/>
    </row>
    <row r="40" ht="15" customHeight="1" s="36">
      <c r="A40" s="41" t="n"/>
      <c r="B40" s="41" t="n"/>
      <c r="C40" s="41" t="n"/>
      <c r="D40" s="41" t="n"/>
      <c r="E40" s="41" t="n"/>
      <c r="F40" s="41" t="n"/>
      <c r="G40" s="41" t="n"/>
      <c r="H40" s="41" t="n"/>
    </row>
    <row r="41" ht="15" customHeight="1" s="36">
      <c r="A41" s="41" t="n"/>
      <c r="B41" s="41" t="n"/>
      <c r="C41" s="41" t="n"/>
      <c r="D41" s="41" t="n"/>
      <c r="E41" s="41" t="n"/>
      <c r="F41" s="41" t="n"/>
      <c r="G41" s="41" t="n"/>
      <c r="H41" s="41" t="n"/>
    </row>
    <row r="42" ht="15" customHeight="1" s="36">
      <c r="A42" s="41" t="n"/>
      <c r="B42" s="41" t="n"/>
      <c r="C42" s="41" t="n"/>
      <c r="D42" s="41" t="n"/>
      <c r="E42" s="41" t="n"/>
      <c r="F42" s="41" t="n"/>
      <c r="G42" s="41" t="n"/>
      <c r="H42" s="41" t="n"/>
    </row>
    <row r="43" ht="15" customHeight="1" s="36">
      <c r="A43" s="41" t="n"/>
      <c r="B43" s="41" t="n"/>
      <c r="C43" s="41" t="n"/>
      <c r="D43" s="41" t="n"/>
      <c r="E43" s="41" t="n"/>
      <c r="F43" s="41" t="n"/>
      <c r="G43" s="41" t="n"/>
      <c r="H43" s="41" t="n"/>
    </row>
  </sheetData>
  <mergeCells count="10">
    <mergeCell ref="A18:H18"/>
    <mergeCell ref="A21:H21"/>
    <mergeCell ref="A20:H20"/>
    <mergeCell ref="A16:H16"/>
    <mergeCell ref="A2:H2"/>
    <mergeCell ref="A19:H19"/>
    <mergeCell ref="A1:H1"/>
    <mergeCell ref="A23:H23"/>
    <mergeCell ref="A22:H22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5" min="1" max="1"/>
    <col width="40" customWidth="1" style="35" min="2" max="2"/>
    <col width="16" customWidth="1" style="35" min="3" max="3"/>
    <col width="46" customWidth="1" style="35" min="4" max="4"/>
    <col width="20" customWidth="1" style="35" min="5" max="5"/>
  </cols>
  <sheetData>
    <row r="1" ht="17.35" customHeight="1" s="36">
      <c r="A1" s="50" t="inlineStr">
        <is>
          <t>KICC 87-Pipeline Revenue Model — Assumptions &amp; Methodology</t>
        </is>
      </c>
      <c r="F1" s="51" t="n"/>
    </row>
    <row r="2" ht="15" customHeight="1" s="36">
      <c r="A2" s="51" t="n"/>
      <c r="B2" s="51" t="n"/>
      <c r="C2" s="51" t="n"/>
      <c r="D2" s="51" t="n"/>
      <c r="E2" s="51" t="n"/>
      <c r="F2" s="51" t="n"/>
    </row>
    <row r="3" ht="15" customHeight="1" s="36">
      <c r="A3" s="51" t="n"/>
      <c r="B3" s="51" t="inlineStr">
        <is>
          <t>FX rate (KSh per USD)</t>
        </is>
      </c>
      <c r="C3" s="52" t="n">
        <v>129</v>
      </c>
      <c r="D3" s="51" t="inlineStr">
        <is>
          <t>Input — update to current CBK reference rate</t>
        </is>
      </c>
      <c r="E3" s="51" t="n"/>
      <c r="F3" s="51" t="n"/>
    </row>
    <row r="4" ht="15" customHeight="1" s="36">
      <c r="A4" s="51" t="n"/>
      <c r="B4" s="51" t="inlineStr">
        <is>
          <t>Uniform scale factor applied to base pipeline-size estimates</t>
        </is>
      </c>
      <c r="C4" s="52" t="n">
        <v>1.5</v>
      </c>
      <c r="D4" s="51" t="inlineStr">
        <is>
          <t>Input — sensitivity lever; see note below</t>
        </is>
      </c>
      <c r="E4" s="51" t="n"/>
      <c r="F4" s="51" t="n"/>
    </row>
    <row r="5" ht="15" customHeight="1" s="36">
      <c r="A5" s="51" t="n"/>
      <c r="B5" s="51" t="n"/>
      <c r="C5" s="51" t="n"/>
      <c r="D5" s="51" t="n"/>
      <c r="E5" s="51" t="n"/>
      <c r="F5" s="51" t="n"/>
    </row>
    <row r="6" ht="15" customHeight="1" s="36">
      <c r="A6" s="51" t="n"/>
      <c r="B6" s="53" t="inlineStr">
        <is>
          <t>Adoption ramp curve (share of steady-state maturity revenue reached, by years since a pipeline's launch)</t>
        </is>
      </c>
      <c r="F6" s="51" t="n"/>
    </row>
    <row r="7" ht="15" customHeight="1" s="36">
      <c r="A7" s="51" t="n"/>
      <c r="B7" s="53" t="inlineStr">
        <is>
          <t>Years since launch</t>
        </is>
      </c>
      <c r="C7" s="53" t="inlineStr">
        <is>
          <t>Ramp %</t>
        </is>
      </c>
      <c r="D7" s="51" t="n"/>
      <c r="E7" s="51" t="n"/>
      <c r="F7" s="51" t="n"/>
    </row>
    <row r="8" ht="15" customHeight="1" s="36">
      <c r="A8" s="51" t="n"/>
      <c r="B8" s="51" t="n">
        <v>1</v>
      </c>
      <c r="C8" s="54" t="n">
        <v>0.15</v>
      </c>
      <c r="D8" s="51" t="inlineStr">
        <is>
          <t>Launch year itself: still ramping up (onboarding, trust-building)</t>
        </is>
      </c>
      <c r="E8" s="51" t="n"/>
      <c r="F8" s="51" t="n"/>
    </row>
    <row r="9" ht="15" customHeight="1" s="36">
      <c r="A9" s="51" t="n"/>
      <c r="B9" s="51" t="n">
        <v>2</v>
      </c>
      <c r="C9" s="54" t="n">
        <v>0.45</v>
      </c>
      <c r="D9" s="51" t="n"/>
      <c r="E9" s="51" t="n"/>
      <c r="F9" s="51" t="n"/>
    </row>
    <row r="10" ht="15" customHeight="1" s="36">
      <c r="A10" s="51" t="n"/>
      <c r="B10" s="51" t="n">
        <v>3</v>
      </c>
      <c r="C10" s="54" t="n">
        <v>0.75</v>
      </c>
      <c r="D10" s="51" t="n"/>
      <c r="E10" s="51" t="n"/>
      <c r="F10" s="51" t="n"/>
    </row>
    <row r="11" ht="15" customHeight="1" s="36">
      <c r="A11" s="51" t="n"/>
      <c r="B11" s="51" t="n">
        <v>4</v>
      </c>
      <c r="C11" s="54" t="n">
        <v>0.95</v>
      </c>
      <c r="D11" s="51" t="n"/>
      <c r="E11" s="51" t="n"/>
      <c r="F11" s="51" t="n"/>
    </row>
    <row r="12" ht="15" customHeight="1" s="36">
      <c r="A12" s="51" t="n"/>
      <c r="B12" s="51" t="n">
        <v>5</v>
      </c>
      <c r="C12" s="54" t="n">
        <v>1</v>
      </c>
      <c r="D12" s="51" t="inlineStr">
        <is>
          <t>Year 5+ since launch: treated as fully mature for this model</t>
        </is>
      </c>
      <c r="E12" s="51" t="n"/>
      <c r="F12" s="51" t="n"/>
    </row>
    <row r="13" ht="15" customHeight="1" s="36">
      <c r="A13" s="51" t="n"/>
      <c r="B13" s="51" t="n"/>
      <c r="C13" s="51" t="n"/>
      <c r="D13" s="51" t="n"/>
      <c r="E13" s="51" t="n"/>
      <c r="F13" s="51" t="n"/>
    </row>
    <row r="14" ht="15" customHeight="1" s="36">
      <c r="A14" s="51" t="n"/>
      <c r="B14" s="53" t="inlineStr">
        <is>
          <t>Advertising &amp; media spend — % of that year's revenue (economy-wide)</t>
        </is>
      </c>
      <c r="F14" s="51" t="n"/>
    </row>
    <row r="15" ht="15" customHeight="1" s="36">
      <c r="A15" s="51" t="n"/>
      <c r="B15" s="53" t="inlineStr">
        <is>
          <t>Year</t>
        </is>
      </c>
      <c r="C15" s="53" t="inlineStr">
        <is>
          <t>Marketing % of revenue</t>
        </is>
      </c>
      <c r="D15" s="51" t="n"/>
      <c r="E15" s="51" t="n"/>
      <c r="F15" s="51" t="n"/>
    </row>
    <row r="16" ht="15" customHeight="1" s="36">
      <c r="A16" s="51" t="n"/>
      <c r="B16" s="51" t="inlineStr">
        <is>
          <t>Year 1</t>
        </is>
      </c>
      <c r="C16" s="55" t="n">
        <v>0.14</v>
      </c>
      <c r="D16" s="51" t="inlineStr">
        <is>
          <t>Declining spend-to-revenue ratio as the platform matures (word-of-mouth/repeat usage substitute for paid reach) — absolute KSh spend still grows with revenue.</t>
        </is>
      </c>
      <c r="E16" s="51" t="n"/>
      <c r="F16" s="51" t="n"/>
    </row>
    <row r="17" ht="15" customHeight="1" s="36">
      <c r="A17" s="51" t="n"/>
      <c r="B17" s="51" t="inlineStr">
        <is>
          <t>Year 2</t>
        </is>
      </c>
      <c r="C17" s="55" t="n">
        <v>0.11</v>
      </c>
      <c r="D17" s="51" t="n"/>
      <c r="E17" s="51" t="n"/>
      <c r="F17" s="51" t="n"/>
    </row>
    <row r="18" ht="15" customHeight="1" s="36">
      <c r="A18" s="51" t="n"/>
      <c r="B18" s="51" t="inlineStr">
        <is>
          <t>Year 3</t>
        </is>
      </c>
      <c r="C18" s="55" t="n">
        <v>0.09</v>
      </c>
      <c r="D18" s="51" t="n"/>
      <c r="E18" s="51" t="n"/>
      <c r="F18" s="51" t="n"/>
    </row>
    <row r="19" ht="15" customHeight="1" s="36">
      <c r="A19" s="51" t="n"/>
      <c r="B19" s="51" t="inlineStr">
        <is>
          <t>Year 4</t>
        </is>
      </c>
      <c r="C19" s="55" t="n">
        <v>0.07000000000000001</v>
      </c>
      <c r="D19" s="51" t="n"/>
      <c r="E19" s="51" t="n"/>
      <c r="F19" s="51" t="n"/>
    </row>
    <row r="20" ht="15" customHeight="1" s="36">
      <c r="A20" s="51" t="n"/>
      <c r="B20" s="51" t="inlineStr">
        <is>
          <t>Year 5</t>
        </is>
      </c>
      <c r="C20" s="55" t="n">
        <v>0.06</v>
      </c>
      <c r="D20" s="51" t="n"/>
      <c r="E20" s="51" t="n"/>
      <c r="F20" s="51" t="n"/>
    </row>
    <row r="21" ht="15" customHeight="1" s="36">
      <c r="A21" s="51" t="n"/>
      <c r="B21" s="51" t="n"/>
      <c r="C21" s="51" t="n"/>
      <c r="D21" s="51" t="n"/>
      <c r="E21" s="51" t="n"/>
      <c r="F21" s="51" t="n"/>
    </row>
    <row r="22" ht="15" customHeight="1" s="36">
      <c r="A22" s="51" t="n"/>
      <c r="B22" s="53" t="inlineStr">
        <is>
          <t>Advertising channel split by category — Screentime (TV, digital display/OOH, cinema) vs. Airtime (radio, mobile airtime/SMS, USSD)</t>
        </is>
      </c>
      <c r="F22" s="51" t="n"/>
    </row>
    <row r="23" ht="15" customHeight="1" s="36">
      <c r="A23" s="51" t="n"/>
      <c r="B23" s="53" t="inlineStr">
        <is>
          <t>Category</t>
        </is>
      </c>
      <c r="C23" s="53" t="inlineStr">
        <is>
          <t>Screentime %</t>
        </is>
      </c>
      <c r="D23" s="53" t="inlineStr">
        <is>
          <t>Airtime %</t>
        </is>
      </c>
      <c r="E23" s="51" t="n"/>
      <c r="F23" s="51" t="n"/>
    </row>
    <row r="24" ht="15" customHeight="1" s="36">
      <c r="A24" s="51" t="n"/>
      <c r="B24" s="51" t="inlineStr">
        <is>
          <t>A. Agriculture</t>
        </is>
      </c>
      <c r="C24" s="55" t="n">
        <v>0.3</v>
      </c>
      <c r="D24" s="55" t="n">
        <v>0.7</v>
      </c>
      <c r="E24" s="56" t="inlineStr">
        <is>
          <t>Rural/smallholder-heavy categories skew to radio airtime; urban/digital-native categories skew to screentime.</t>
        </is>
      </c>
      <c r="F24" s="51" t="n"/>
    </row>
    <row r="25" ht="15" customHeight="1" s="36">
      <c r="A25" s="51" t="n"/>
      <c r="B25" s="51" t="inlineStr">
        <is>
          <t>B. Minerals</t>
        </is>
      </c>
      <c r="C25" s="55" t="n">
        <v>0.4</v>
      </c>
      <c r="D25" s="55" t="n">
        <v>0.6</v>
      </c>
      <c r="F25" s="51" t="n"/>
    </row>
    <row r="26" ht="15" customHeight="1" s="36">
      <c r="A26" s="51" t="n"/>
      <c r="B26" s="51" t="inlineStr">
        <is>
          <t>C. Industrial &amp; SEZ</t>
        </is>
      </c>
      <c r="C26" s="55" t="n">
        <v>0.6</v>
      </c>
      <c r="D26" s="55" t="n">
        <v>0.4</v>
      </c>
      <c r="F26" s="51" t="n"/>
    </row>
    <row r="27" ht="15" customHeight="1" s="36">
      <c r="A27" s="51" t="n"/>
      <c r="B27" s="51" t="inlineStr">
        <is>
          <t>D. Energy &amp; Infra</t>
        </is>
      </c>
      <c r="C27" s="55" t="n">
        <v>0.55</v>
      </c>
      <c r="D27" s="55" t="n">
        <v>0.45</v>
      </c>
      <c r="F27" s="51" t="n"/>
    </row>
    <row r="28" ht="15" customHeight="1" s="36">
      <c r="A28" s="51" t="n"/>
      <c r="B28" s="51" t="inlineStr">
        <is>
          <t>E. Real Estate</t>
        </is>
      </c>
      <c r="C28" s="55" t="n">
        <v>0.7</v>
      </c>
      <c r="D28" s="55" t="n">
        <v>0.3</v>
      </c>
      <c r="F28" s="51" t="n"/>
    </row>
    <row r="29" ht="15" customHeight="1" s="36">
      <c r="A29" s="51" t="n"/>
      <c r="B29" s="51" t="inlineStr">
        <is>
          <t>F. Tourism</t>
        </is>
      </c>
      <c r="C29" s="55" t="n">
        <v>0.75</v>
      </c>
      <c r="D29" s="55" t="n">
        <v>0.25</v>
      </c>
      <c r="F29" s="51" t="n"/>
    </row>
    <row r="30" ht="15" customHeight="1" s="36">
      <c r="A30" s="51" t="n"/>
      <c r="B30" s="51" t="inlineStr">
        <is>
          <t>G. Commerce &amp; Discovery</t>
        </is>
      </c>
      <c r="C30" s="55" t="n">
        <v>0.65</v>
      </c>
      <c r="D30" s="55" t="n">
        <v>0.35</v>
      </c>
      <c r="F30" s="51" t="n"/>
    </row>
    <row r="31" ht="15" customHeight="1" s="36">
      <c r="A31" s="51" t="n"/>
      <c r="B31" s="51" t="inlineStr">
        <is>
          <t>H. Logistics</t>
        </is>
      </c>
      <c r="C31" s="55" t="n">
        <v>0.5</v>
      </c>
      <c r="D31" s="55" t="n">
        <v>0.5</v>
      </c>
      <c r="F31" s="51" t="n"/>
    </row>
    <row r="32" ht="15" customHeight="1" s="36">
      <c r="A32" s="51" t="n"/>
      <c r="B32" s="51" t="inlineStr">
        <is>
          <t>I. Financial Services</t>
        </is>
      </c>
      <c r="C32" s="55" t="n">
        <v>0.6</v>
      </c>
      <c r="D32" s="55" t="n">
        <v>0.4</v>
      </c>
      <c r="F32" s="51" t="n"/>
    </row>
    <row r="33" ht="15" customHeight="1" s="36">
      <c r="A33" s="51" t="n"/>
      <c r="B33" s="51" t="inlineStr">
        <is>
          <t>J. Government</t>
        </is>
      </c>
      <c r="C33" s="55" t="n">
        <v>0.35</v>
      </c>
      <c r="D33" s="55" t="n">
        <v>0.65</v>
      </c>
      <c r="F33" s="51" t="n"/>
    </row>
    <row r="34" ht="15" customHeight="1" s="36">
      <c r="A34" s="51" t="n"/>
      <c r="B34" s="51" t="inlineStr">
        <is>
          <t>K. Additional Sectors</t>
        </is>
      </c>
      <c r="C34" s="55" t="n">
        <v>0.5</v>
      </c>
      <c r="D34" s="55" t="n">
        <v>0.5</v>
      </c>
      <c r="F34" s="51" t="n"/>
    </row>
    <row r="35" ht="15" customHeight="1" s="36">
      <c r="A35" s="51" t="n"/>
      <c r="B35" s="51" t="inlineStr">
        <is>
          <t>L. RE Rental Expansion</t>
        </is>
      </c>
      <c r="C35" s="55" t="n">
        <v>0.7</v>
      </c>
      <c r="D35" s="55" t="n">
        <v>0.3</v>
      </c>
      <c r="F35" s="51" t="n"/>
    </row>
    <row r="36" ht="15" customHeight="1" s="36">
      <c r="A36" s="51" t="n"/>
      <c r="B36" s="51" t="inlineStr">
        <is>
          <t>M. Flagship &amp; Investment</t>
        </is>
      </c>
      <c r="C36" s="55" t="n">
        <v>0.65</v>
      </c>
      <c r="D36" s="55" t="n">
        <v>0.35</v>
      </c>
      <c r="F36" s="51" t="n"/>
    </row>
    <row r="37" ht="15" customHeight="1" s="36">
      <c r="A37" s="51" t="n"/>
      <c r="B37" s="51" t="n"/>
      <c r="C37" s="51" t="n"/>
      <c r="D37" s="51" t="n"/>
      <c r="E37" s="51" t="n"/>
      <c r="F37" s="51" t="n"/>
    </row>
    <row r="38" ht="15" customHeight="1" s="36">
      <c r="A38" s="51" t="n"/>
      <c r="B38" s="53" t="inlineStr">
        <is>
          <t>Methodology notes</t>
        </is>
      </c>
      <c r="C38" s="51" t="n"/>
      <c r="D38" s="51" t="n"/>
      <c r="E38" s="51" t="n"/>
      <c r="F38" s="51" t="n"/>
    </row>
    <row r="39" ht="15" customHeight="1" s="36">
      <c r="A39" s="51" t="n"/>
      <c r="B39" s="51" t="inlineStr">
        <is>
          <t>1. Each of the 87 pipelines in the catalog is assigned a category, a Launch Year (1-5), and a Steady-State</t>
        </is>
      </c>
      <c r="F39" s="51" t="n"/>
    </row>
    <row r="40" ht="15" customHeight="1" s="36">
      <c r="A40" s="51" t="n"/>
      <c r="B40" s="51" t="inlineStr">
        <is>
          <t xml:space="preserve">   Annual Revenue estimate at full maturity (KSh), on the 'Pipeline Model' sheet.</t>
        </is>
      </c>
      <c r="F40" s="51" t="n"/>
    </row>
    <row r="41" ht="15" customHeight="1" s="36">
      <c r="A41" s="51" t="n"/>
      <c r="B41" s="51" t="inlineStr">
        <is>
          <t>2. Steady-state values are MODELED ESTIMATES, not sourced third-party market sizing. They were derived from</t>
        </is>
      </c>
      <c r="F41" s="51" t="n"/>
    </row>
    <row r="42" ht="15" customHeight="1" s="36">
      <c r="A42" s="51" t="n"/>
      <c r="B42" s="51" t="inlineStr">
        <is>
          <t xml:space="preserve">   the qualitative scale signals in the pipeline catalog itself (e.g. 'largest single export earner' vs.</t>
        </is>
      </c>
      <c r="F42" s="51" t="n"/>
    </row>
    <row r="43" ht="15" customHeight="1" s="36">
      <c r="A43" s="51" t="n"/>
      <c r="B43" s="51" t="inlineStr">
        <is>
          <t xml:space="preserve">   'early-stage/exploration', stated commission ranges). Replace with sourced sector data (KNBS, CBK, sector</t>
        </is>
      </c>
      <c r="F43" s="51" t="n"/>
    </row>
    <row r="44" ht="15" customHeight="1" s="36">
      <c r="A44" s="51" t="n"/>
      <c r="B44" s="51" t="inlineStr">
        <is>
          <t xml:space="preserve">   board reports) before this model is used for fundraising or budget commitments.</t>
        </is>
      </c>
      <c r="F44" s="51" t="n"/>
    </row>
    <row r="45" ht="15" customHeight="1" s="36">
      <c r="A45" s="51" t="n"/>
      <c r="B45" s="51" t="inlineStr">
        <is>
          <t>3. Revenue in any given year = Steady-State Value x Scale Factor x Ramp% for (current year - launch year).</t>
        </is>
      </c>
      <c r="F45" s="51" t="n"/>
    </row>
    <row r="46" ht="15" customHeight="1" s="36">
      <c r="A46" s="51" t="n"/>
      <c r="B46" s="51" t="inlineStr">
        <is>
          <t xml:space="preserve">   A pipeline earns nothing before its launch year.</t>
        </is>
      </c>
      <c r="F46" s="51" t="n"/>
    </row>
    <row r="47" ht="15" customHeight="1" s="36">
      <c r="A47" s="51" t="n"/>
      <c r="B47" s="51" t="inlineStr">
        <is>
          <t>4. Advertising &amp; media cost = that year's revenue x the marketing-to-revenue ratio above, split into</t>
        </is>
      </c>
      <c r="F47" s="51" t="n"/>
    </row>
    <row r="48" ht="15" customHeight="1" s="36">
      <c r="A48" s="51" t="n"/>
      <c r="B48" s="51" t="inlineStr">
        <is>
          <t xml:space="preserve">   Screentime and Airtime by category on the 'Advertising &amp; Media Cost' sheet. This is modeled as a cost</t>
        </is>
      </c>
      <c r="F48" s="51" t="n"/>
    </row>
    <row r="49" ht="15" customHeight="1" s="36">
      <c r="A49" s="51" t="n"/>
      <c r="B49" s="51" t="inlineStr">
        <is>
          <t xml:space="preserve">   of customer acquisition and retention, not a revenue line — it reduces net revenue.</t>
        </is>
      </c>
      <c r="F49" s="51" t="n"/>
    </row>
    <row r="50" ht="15" customHeight="1" s="36">
      <c r="A50" s="51" t="n"/>
      <c r="B50" s="51" t="inlineStr">
        <is>
          <t>5. Pipelines that generate no new take rate of their own (Diaspora Gateway #43, Gov Portal Lead-Scoring #53,</t>
        </is>
      </c>
      <c r="F50" s="51" t="n"/>
    </row>
    <row r="51" ht="15" customHeight="1" s="36">
      <c r="A51" s="51" t="n"/>
      <c r="B51" s="51" t="inlineStr">
        <is>
          <t xml:space="preserve">   the Rating Engine #79, and the Airline MOU infrastructure #82) are modeled at KSh 0 direct revenue — their</t>
        </is>
      </c>
      <c r="F51" s="51" t="n"/>
    </row>
    <row r="52" ht="15" customHeight="1" s="36">
      <c r="A52" s="51" t="n"/>
      <c r="B52" s="51" t="inlineStr">
        <is>
          <t xml:space="preserve">   value is captured inside the pipelines they feed, avoiding double-counting.</t>
        </is>
      </c>
      <c r="F52" s="51" t="n"/>
    </row>
    <row r="53" ht="15" customHeight="1" s="36">
      <c r="A53" s="51" t="n"/>
      <c r="B53" s="51" t="inlineStr">
        <is>
          <t>6. This is a launch-phasing/ramp model, not a market-share or bottom-up unit-economics model. Treat outputs</t>
        </is>
      </c>
      <c r="F53" s="51" t="n"/>
    </row>
    <row r="54" ht="15" customHeight="1" s="36">
      <c r="A54" s="51" t="n"/>
      <c r="B54" s="51" t="inlineStr">
        <is>
          <t xml:space="preserve">   as directional, not a budget number.</t>
        </is>
      </c>
      <c r="F54" s="51" t="n"/>
    </row>
    <row r="55" ht="15" customHeight="1" s="36">
      <c r="A55" s="51" t="n"/>
      <c r="B55" s="51" t="n"/>
      <c r="C55" s="51" t="n"/>
      <c r="D55" s="51" t="n"/>
      <c r="E55" s="51" t="n"/>
      <c r="F55" s="51" t="n"/>
    </row>
    <row r="56" ht="15" customHeight="1" s="36">
      <c r="A56" s="51" t="n"/>
      <c r="B56" s="51" t="n"/>
      <c r="C56" s="51" t="n"/>
      <c r="D56" s="51" t="n"/>
      <c r="E56" s="51" t="n"/>
      <c r="F56" s="51" t="n"/>
    </row>
    <row r="57" ht="15" customHeight="1" s="36">
      <c r="A57" s="51" t="n"/>
      <c r="B57" s="51" t="n"/>
      <c r="C57" s="51" t="n"/>
      <c r="D57" s="51" t="n"/>
      <c r="E57" s="51" t="n"/>
      <c r="F57" s="51" t="n"/>
    </row>
    <row r="58" ht="15" customHeight="1" s="36">
      <c r="A58" s="51" t="n"/>
      <c r="B58" s="51" t="n"/>
      <c r="C58" s="51" t="n"/>
      <c r="D58" s="51" t="n"/>
      <c r="E58" s="51" t="n"/>
      <c r="F58" s="51" t="n"/>
    </row>
    <row r="59" ht="15" customHeight="1" s="36">
      <c r="A59" s="51" t="n"/>
      <c r="B59" s="51" t="n"/>
      <c r="C59" s="51" t="n"/>
      <c r="D59" s="51" t="n"/>
      <c r="E59" s="51" t="n"/>
      <c r="F59" s="51" t="n"/>
    </row>
    <row r="60" ht="15" customHeight="1" s="36">
      <c r="A60" s="51" t="n"/>
      <c r="B60" s="51" t="n"/>
      <c r="C60" s="51" t="n"/>
      <c r="D60" s="51" t="n"/>
      <c r="E60" s="51" t="n"/>
      <c r="F60" s="51" t="n"/>
    </row>
  </sheetData>
  <mergeCells count="21">
    <mergeCell ref="B40:E40"/>
    <mergeCell ref="B49:E49"/>
    <mergeCell ref="B6:E6"/>
    <mergeCell ref="A1:E1"/>
    <mergeCell ref="B51:E51"/>
    <mergeCell ref="B45:E45"/>
    <mergeCell ref="B41:E41"/>
    <mergeCell ref="B50:E50"/>
    <mergeCell ref="B54:E54"/>
    <mergeCell ref="B47:E47"/>
    <mergeCell ref="B46:E46"/>
    <mergeCell ref="B22:E22"/>
    <mergeCell ref="B43:E43"/>
    <mergeCell ref="B52:E52"/>
    <mergeCell ref="B48:E48"/>
    <mergeCell ref="B39:E39"/>
    <mergeCell ref="B42:E42"/>
    <mergeCell ref="B14:E14"/>
    <mergeCell ref="B53:E53"/>
    <mergeCell ref="B44:E44"/>
    <mergeCell ref="E24:E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9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35" min="1" max="1"/>
    <col width="38" customWidth="1" style="35" min="2" max="2"/>
    <col width="24" customWidth="1" style="35" min="3" max="3"/>
    <col width="11" customWidth="1" style="35" min="4" max="4"/>
    <col width="24" customWidth="1" style="35" min="5" max="5"/>
    <col width="15" customWidth="1" style="35" min="6" max="10"/>
  </cols>
  <sheetData>
    <row r="1" ht="31.5" customHeight="1" s="36">
      <c r="A1" s="57" t="inlineStr">
        <is>
          <t>ID</t>
        </is>
      </c>
      <c r="B1" s="57" t="inlineStr">
        <is>
          <t>Pipeline</t>
        </is>
      </c>
      <c r="C1" s="57" t="inlineStr">
        <is>
          <t>Category</t>
        </is>
      </c>
      <c r="D1" s="57" t="inlineStr">
        <is>
          <t>Launch Year</t>
        </is>
      </c>
      <c r="E1" s="57" t="inlineStr">
        <is>
          <t>Steady-State Revenue at Maturity (KSh/yr)</t>
        </is>
      </c>
      <c r="F1" s="57" t="inlineStr">
        <is>
          <t>Year 1 (KSh)</t>
        </is>
      </c>
      <c r="G1" s="57" t="inlineStr">
        <is>
          <t>Year 2 (KSh)</t>
        </is>
      </c>
      <c r="H1" s="57" t="inlineStr">
        <is>
          <t>Year 3 (KSh)</t>
        </is>
      </c>
      <c r="I1" s="57" t="inlineStr">
        <is>
          <t>Year 4 (KSh)</t>
        </is>
      </c>
      <c r="J1" s="57" t="inlineStr">
        <is>
          <t>Year 5 (KSh)</t>
        </is>
      </c>
    </row>
    <row r="2" ht="15" customHeight="1" s="36">
      <c r="A2" s="58" t="n">
        <v>1</v>
      </c>
      <c r="B2" s="58" t="inlineStr">
        <is>
          <t>Coffee aggregation &amp; export match</t>
        </is>
      </c>
      <c r="C2" s="58" t="inlineStr">
        <is>
          <t>A. Agriculture</t>
        </is>
      </c>
      <c r="D2" s="59" t="n">
        <v>2</v>
      </c>
      <c r="E2" s="60" t="n">
        <v>120000000</v>
      </c>
      <c r="F2" s="61">
        <f>IF(1&lt;$D2,0,$E2*Assumptions!$C$4*INDEX(Assumptions!$C$8:$C$12,MIN(1-$D2+1,5)))</f>
        <v/>
      </c>
      <c r="G2" s="61">
        <f>IF(2&lt;$D2,0,$E2*Assumptions!$C$4*INDEX(Assumptions!$C$8:$C$12,MIN(2-$D2+1,5)))</f>
        <v/>
      </c>
      <c r="H2" s="61">
        <f>IF(3&lt;$D2,0,$E2*Assumptions!$C$4*INDEX(Assumptions!$C$8:$C$12,MIN(3-$D2+1,5)))</f>
        <v/>
      </c>
      <c r="I2" s="61">
        <f>IF(4&lt;$D2,0,$E2*Assumptions!$C$4*INDEX(Assumptions!$C$8:$C$12,MIN(4-$D2+1,5)))</f>
        <v/>
      </c>
      <c r="J2" s="61">
        <f>IF(5&lt;$D2,0,$E2*Assumptions!$C$4*INDEX(Assumptions!$C$8:$C$12,MIN(5-$D2+1,5)))</f>
        <v/>
      </c>
    </row>
    <row r="3" ht="15" customHeight="1" s="36">
      <c r="A3" s="39" t="n">
        <v>2</v>
      </c>
      <c r="B3" s="39" t="inlineStr">
        <is>
          <t>Tea (non-KTDA / specialty)</t>
        </is>
      </c>
      <c r="C3" s="39" t="inlineStr">
        <is>
          <t>A. Agriculture</t>
        </is>
      </c>
      <c r="D3" s="39" t="n">
        <v>3</v>
      </c>
      <c r="E3" s="62" t="n">
        <v>60000000</v>
      </c>
      <c r="F3" s="62">
        <f>IF(1&lt;$D3,0,$E3*Assumptions!$C$4*INDEX(Assumptions!$C$8:$C$12,MIN(1-$D3+1,5)))</f>
        <v/>
      </c>
      <c r="G3" s="62">
        <f>IF(2&lt;$D3,0,$E3*Assumptions!$C$4*INDEX(Assumptions!$C$8:$C$12,MIN(2-$D3+1,5)))</f>
        <v/>
      </c>
      <c r="H3" s="62">
        <f>IF(3&lt;$D3,0,$E3*Assumptions!$C$4*INDEX(Assumptions!$C$8:$C$12,MIN(3-$D3+1,5)))</f>
        <v/>
      </c>
      <c r="I3" s="62">
        <f>IF(4&lt;$D3,0,$E3*Assumptions!$C$4*INDEX(Assumptions!$C$8:$C$12,MIN(4-$D3+1,5)))</f>
        <v/>
      </c>
      <c r="J3" s="62">
        <f>IF(5&lt;$D3,0,$E3*Assumptions!$C$4*INDEX(Assumptions!$C$8:$C$12,MIN(5-$D3+1,5)))</f>
        <v/>
      </c>
    </row>
    <row r="4" ht="15" customHeight="1" s="36">
      <c r="A4" s="63" t="n">
        <v>3</v>
      </c>
      <c r="B4" s="63" t="inlineStr">
        <is>
          <t>Maize domestic distribution</t>
        </is>
      </c>
      <c r="C4" s="63" t="inlineStr">
        <is>
          <t>A. Agriculture</t>
        </is>
      </c>
      <c r="D4" s="64" t="n">
        <v>2</v>
      </c>
      <c r="E4" s="65" t="n">
        <v>90000000</v>
      </c>
      <c r="F4" s="66">
        <f>IF(1&lt;$D4,0,$E4*Assumptions!$C$4*INDEX(Assumptions!$C$8:$C$12,MIN(1-$D4+1,5)))</f>
        <v/>
      </c>
      <c r="G4" s="66">
        <f>IF(2&lt;$D4,0,$E4*Assumptions!$C$4*INDEX(Assumptions!$C$8:$C$12,MIN(2-$D4+1,5)))</f>
        <v/>
      </c>
      <c r="H4" s="66">
        <f>IF(3&lt;$D4,0,$E4*Assumptions!$C$4*INDEX(Assumptions!$C$8:$C$12,MIN(3-$D4+1,5)))</f>
        <v/>
      </c>
      <c r="I4" s="66">
        <f>IF(4&lt;$D4,0,$E4*Assumptions!$C$4*INDEX(Assumptions!$C$8:$C$12,MIN(4-$D4+1,5)))</f>
        <v/>
      </c>
      <c r="J4" s="66">
        <f>IF(5&lt;$D4,0,$E4*Assumptions!$C$4*INDEX(Assumptions!$C$8:$C$12,MIN(5-$D4+1,5)))</f>
        <v/>
      </c>
    </row>
    <row r="5" ht="15" customHeight="1" s="36">
      <c r="A5" s="41" t="n">
        <v>4</v>
      </c>
      <c r="B5" s="41" t="inlineStr">
        <is>
          <t>Sugarcane side-selling/verification</t>
        </is>
      </c>
      <c r="C5" s="41" t="inlineStr">
        <is>
          <t>A. Agriculture</t>
        </is>
      </c>
      <c r="D5" s="67" t="n">
        <v>4</v>
      </c>
      <c r="E5" s="48" t="n">
        <v>40000000</v>
      </c>
      <c r="F5" s="43">
        <f>IF(1&lt;$D5,0,$E5*Assumptions!$C$4*INDEX(Assumptions!$C$8:$C$12,MIN(1-$D5+1,5)))</f>
        <v/>
      </c>
      <c r="G5" s="43">
        <f>IF(2&lt;$D5,0,$E5*Assumptions!$C$4*INDEX(Assumptions!$C$8:$C$12,MIN(2-$D5+1,5)))</f>
        <v/>
      </c>
      <c r="H5" s="43">
        <f>IF(3&lt;$D5,0,$E5*Assumptions!$C$4*INDEX(Assumptions!$C$8:$C$12,MIN(3-$D5+1,5)))</f>
        <v/>
      </c>
      <c r="I5" s="43">
        <f>IF(4&lt;$D5,0,$E5*Assumptions!$C$4*INDEX(Assumptions!$C$8:$C$12,MIN(4-$D5+1,5)))</f>
        <v/>
      </c>
      <c r="J5" s="43">
        <f>IF(5&lt;$D5,0,$E5*Assumptions!$C$4*INDEX(Assumptions!$C$8:$C$12,MIN(5-$D5+1,5)))</f>
        <v/>
      </c>
    </row>
    <row r="6" ht="15" customHeight="1" s="36">
      <c r="A6" s="63" t="n">
        <v>5</v>
      </c>
      <c r="B6" s="63" t="inlineStr">
        <is>
          <t>Horticulture — cut flowers</t>
        </is>
      </c>
      <c r="C6" s="63" t="inlineStr">
        <is>
          <t>A. Agriculture</t>
        </is>
      </c>
      <c r="D6" s="64" t="n">
        <v>2</v>
      </c>
      <c r="E6" s="65" t="n">
        <v>150000000</v>
      </c>
      <c r="F6" s="66">
        <f>IF(1&lt;$D6,0,$E6*Assumptions!$C$4*INDEX(Assumptions!$C$8:$C$12,MIN(1-$D6+1,5)))</f>
        <v/>
      </c>
      <c r="G6" s="66">
        <f>IF(2&lt;$D6,0,$E6*Assumptions!$C$4*INDEX(Assumptions!$C$8:$C$12,MIN(2-$D6+1,5)))</f>
        <v/>
      </c>
      <c r="H6" s="66">
        <f>IF(3&lt;$D6,0,$E6*Assumptions!$C$4*INDEX(Assumptions!$C$8:$C$12,MIN(3-$D6+1,5)))</f>
        <v/>
      </c>
      <c r="I6" s="66">
        <f>IF(4&lt;$D6,0,$E6*Assumptions!$C$4*INDEX(Assumptions!$C$8:$C$12,MIN(4-$D6+1,5)))</f>
        <v/>
      </c>
      <c r="J6" s="66">
        <f>IF(5&lt;$D6,0,$E6*Assumptions!$C$4*INDEX(Assumptions!$C$8:$C$12,MIN(5-$D6+1,5)))</f>
        <v/>
      </c>
    </row>
    <row r="7" ht="15" customHeight="1" s="36">
      <c r="A7" s="41" t="n">
        <v>6</v>
      </c>
      <c r="B7" s="41" t="inlineStr">
        <is>
          <t>Horticulture — avocado</t>
        </is>
      </c>
      <c r="C7" s="41" t="inlineStr">
        <is>
          <t>A. Agriculture</t>
        </is>
      </c>
      <c r="D7" s="67" t="n">
        <v>2</v>
      </c>
      <c r="E7" s="48" t="n">
        <v>100000000</v>
      </c>
      <c r="F7" s="43">
        <f>IF(1&lt;$D7,0,$E7*Assumptions!$C$4*INDEX(Assumptions!$C$8:$C$12,MIN(1-$D7+1,5)))</f>
        <v/>
      </c>
      <c r="G7" s="43">
        <f>IF(2&lt;$D7,0,$E7*Assumptions!$C$4*INDEX(Assumptions!$C$8:$C$12,MIN(2-$D7+1,5)))</f>
        <v/>
      </c>
      <c r="H7" s="43">
        <f>IF(3&lt;$D7,0,$E7*Assumptions!$C$4*INDEX(Assumptions!$C$8:$C$12,MIN(3-$D7+1,5)))</f>
        <v/>
      </c>
      <c r="I7" s="43">
        <f>IF(4&lt;$D7,0,$E7*Assumptions!$C$4*INDEX(Assumptions!$C$8:$C$12,MIN(4-$D7+1,5)))</f>
        <v/>
      </c>
      <c r="J7" s="43">
        <f>IF(5&lt;$D7,0,$E7*Assumptions!$C$4*INDEX(Assumptions!$C$8:$C$12,MIN(5-$D7+1,5)))</f>
        <v/>
      </c>
    </row>
    <row r="8" ht="15" customHeight="1" s="36">
      <c r="A8" s="63" t="n">
        <v>7</v>
      </c>
      <c r="B8" s="63" t="inlineStr">
        <is>
          <t>Horticulture — macadamia</t>
        </is>
      </c>
      <c r="C8" s="63" t="inlineStr">
        <is>
          <t>A. Agriculture</t>
        </is>
      </c>
      <c r="D8" s="64" t="n">
        <v>3</v>
      </c>
      <c r="E8" s="65" t="n">
        <v>70000000</v>
      </c>
      <c r="F8" s="66">
        <f>IF(1&lt;$D8,0,$E8*Assumptions!$C$4*INDEX(Assumptions!$C$8:$C$12,MIN(1-$D8+1,5)))</f>
        <v/>
      </c>
      <c r="G8" s="66">
        <f>IF(2&lt;$D8,0,$E8*Assumptions!$C$4*INDEX(Assumptions!$C$8:$C$12,MIN(2-$D8+1,5)))</f>
        <v/>
      </c>
      <c r="H8" s="66">
        <f>IF(3&lt;$D8,0,$E8*Assumptions!$C$4*INDEX(Assumptions!$C$8:$C$12,MIN(3-$D8+1,5)))</f>
        <v/>
      </c>
      <c r="I8" s="66">
        <f>IF(4&lt;$D8,0,$E8*Assumptions!$C$4*INDEX(Assumptions!$C$8:$C$12,MIN(4-$D8+1,5)))</f>
        <v/>
      </c>
      <c r="J8" s="66">
        <f>IF(5&lt;$D8,0,$E8*Assumptions!$C$4*INDEX(Assumptions!$C$8:$C$12,MIN(5-$D8+1,5)))</f>
        <v/>
      </c>
    </row>
    <row r="9" ht="15" customHeight="1" s="36">
      <c r="A9" s="41" t="n">
        <v>8</v>
      </c>
      <c r="B9" s="41" t="inlineStr">
        <is>
          <t>Horticulture — French beans/veg</t>
        </is>
      </c>
      <c r="C9" s="41" t="inlineStr">
        <is>
          <t>A. Agriculture</t>
        </is>
      </c>
      <c r="D9" s="67" t="n">
        <v>3</v>
      </c>
      <c r="E9" s="48" t="n">
        <v>60000000</v>
      </c>
      <c r="F9" s="43">
        <f>IF(1&lt;$D9,0,$E9*Assumptions!$C$4*INDEX(Assumptions!$C$8:$C$12,MIN(1-$D9+1,5)))</f>
        <v/>
      </c>
      <c r="G9" s="43">
        <f>IF(2&lt;$D9,0,$E9*Assumptions!$C$4*INDEX(Assumptions!$C$8:$C$12,MIN(2-$D9+1,5)))</f>
        <v/>
      </c>
      <c r="H9" s="43">
        <f>IF(3&lt;$D9,0,$E9*Assumptions!$C$4*INDEX(Assumptions!$C$8:$C$12,MIN(3-$D9+1,5)))</f>
        <v/>
      </c>
      <c r="I9" s="43">
        <f>IF(4&lt;$D9,0,$E9*Assumptions!$C$4*INDEX(Assumptions!$C$8:$C$12,MIN(4-$D9+1,5)))</f>
        <v/>
      </c>
      <c r="J9" s="43">
        <f>IF(5&lt;$D9,0,$E9*Assumptions!$C$4*INDEX(Assumptions!$C$8:$C$12,MIN(5-$D9+1,5)))</f>
        <v/>
      </c>
    </row>
    <row r="10" ht="15" customHeight="1" s="36">
      <c r="A10" s="63" t="n">
        <v>9</v>
      </c>
      <c r="B10" s="63" t="inlineStr">
        <is>
          <t>Livestock &amp; dairy</t>
        </is>
      </c>
      <c r="C10" s="63" t="inlineStr">
        <is>
          <t>A. Agriculture</t>
        </is>
      </c>
      <c r="D10" s="64" t="n">
        <v>2</v>
      </c>
      <c r="E10" s="65" t="n">
        <v>80000000</v>
      </c>
      <c r="F10" s="66">
        <f>IF(1&lt;$D10,0,$E10*Assumptions!$C$4*INDEX(Assumptions!$C$8:$C$12,MIN(1-$D10+1,5)))</f>
        <v/>
      </c>
      <c r="G10" s="66">
        <f>IF(2&lt;$D10,0,$E10*Assumptions!$C$4*INDEX(Assumptions!$C$8:$C$12,MIN(2-$D10+1,5)))</f>
        <v/>
      </c>
      <c r="H10" s="66">
        <f>IF(3&lt;$D10,0,$E10*Assumptions!$C$4*INDEX(Assumptions!$C$8:$C$12,MIN(3-$D10+1,5)))</f>
        <v/>
      </c>
      <c r="I10" s="66">
        <f>IF(4&lt;$D10,0,$E10*Assumptions!$C$4*INDEX(Assumptions!$C$8:$C$12,MIN(4-$D10+1,5)))</f>
        <v/>
      </c>
      <c r="J10" s="66">
        <f>IF(5&lt;$D10,0,$E10*Assumptions!$C$4*INDEX(Assumptions!$C$8:$C$12,MIN(5-$D10+1,5)))</f>
        <v/>
      </c>
    </row>
    <row r="11" ht="15" customHeight="1" s="36">
      <c r="A11" s="41" t="n">
        <v>10</v>
      </c>
      <c r="B11" s="41" t="inlineStr">
        <is>
          <t>Poultry</t>
        </is>
      </c>
      <c r="C11" s="41" t="inlineStr">
        <is>
          <t>A. Agriculture</t>
        </is>
      </c>
      <c r="D11" s="67" t="n">
        <v>3</v>
      </c>
      <c r="E11" s="48" t="n">
        <v>40000000</v>
      </c>
      <c r="F11" s="43">
        <f>IF(1&lt;$D11,0,$E11*Assumptions!$C$4*INDEX(Assumptions!$C$8:$C$12,MIN(1-$D11+1,5)))</f>
        <v/>
      </c>
      <c r="G11" s="43">
        <f>IF(2&lt;$D11,0,$E11*Assumptions!$C$4*INDEX(Assumptions!$C$8:$C$12,MIN(2-$D11+1,5)))</f>
        <v/>
      </c>
      <c r="H11" s="43">
        <f>IF(3&lt;$D11,0,$E11*Assumptions!$C$4*INDEX(Assumptions!$C$8:$C$12,MIN(3-$D11+1,5)))</f>
        <v/>
      </c>
      <c r="I11" s="43">
        <f>IF(4&lt;$D11,0,$E11*Assumptions!$C$4*INDEX(Assumptions!$C$8:$C$12,MIN(4-$D11+1,5)))</f>
        <v/>
      </c>
      <c r="J11" s="43">
        <f>IF(5&lt;$D11,0,$E11*Assumptions!$C$4*INDEX(Assumptions!$C$8:$C$12,MIN(5-$D11+1,5)))</f>
        <v/>
      </c>
    </row>
    <row r="12" ht="15" customHeight="1" s="36">
      <c r="A12" s="63" t="n">
        <v>11</v>
      </c>
      <c r="B12" s="63" t="inlineStr">
        <is>
          <t>Cotton (feeds Pipeline 22)</t>
        </is>
      </c>
      <c r="C12" s="63" t="inlineStr">
        <is>
          <t>A. Agriculture</t>
        </is>
      </c>
      <c r="D12" s="64" t="n">
        <v>4</v>
      </c>
      <c r="E12" s="65" t="n">
        <v>15000000</v>
      </c>
      <c r="F12" s="66">
        <f>IF(1&lt;$D12,0,$E12*Assumptions!$C$4*INDEX(Assumptions!$C$8:$C$12,MIN(1-$D12+1,5)))</f>
        <v/>
      </c>
      <c r="G12" s="66">
        <f>IF(2&lt;$D12,0,$E12*Assumptions!$C$4*INDEX(Assumptions!$C$8:$C$12,MIN(2-$D12+1,5)))</f>
        <v/>
      </c>
      <c r="H12" s="66">
        <f>IF(3&lt;$D12,0,$E12*Assumptions!$C$4*INDEX(Assumptions!$C$8:$C$12,MIN(3-$D12+1,5)))</f>
        <v/>
      </c>
      <c r="I12" s="66">
        <f>IF(4&lt;$D12,0,$E12*Assumptions!$C$4*INDEX(Assumptions!$C$8:$C$12,MIN(4-$D12+1,5)))</f>
        <v/>
      </c>
      <c r="J12" s="66">
        <f>IF(5&lt;$D12,0,$E12*Assumptions!$C$4*INDEX(Assumptions!$C$8:$C$12,MIN(5-$D12+1,5)))</f>
        <v/>
      </c>
    </row>
    <row r="13" ht="15" customHeight="1" s="36">
      <c r="A13" s="41" t="n">
        <v>12</v>
      </c>
      <c r="B13" s="41" t="inlineStr">
        <is>
          <t>Fisheries &amp; blue economy</t>
        </is>
      </c>
      <c r="C13" s="41" t="inlineStr">
        <is>
          <t>A. Agriculture</t>
        </is>
      </c>
      <c r="D13" s="67" t="n">
        <v>3</v>
      </c>
      <c r="E13" s="48" t="n">
        <v>50000000</v>
      </c>
      <c r="F13" s="43">
        <f>IF(1&lt;$D13,0,$E13*Assumptions!$C$4*INDEX(Assumptions!$C$8:$C$12,MIN(1-$D13+1,5)))</f>
        <v/>
      </c>
      <c r="G13" s="43">
        <f>IF(2&lt;$D13,0,$E13*Assumptions!$C$4*INDEX(Assumptions!$C$8:$C$12,MIN(2-$D13+1,5)))</f>
        <v/>
      </c>
      <c r="H13" s="43">
        <f>IF(3&lt;$D13,0,$E13*Assumptions!$C$4*INDEX(Assumptions!$C$8:$C$12,MIN(3-$D13+1,5)))</f>
        <v/>
      </c>
      <c r="I13" s="43">
        <f>IF(4&lt;$D13,0,$E13*Assumptions!$C$4*INDEX(Assumptions!$C$8:$C$12,MIN(4-$D13+1,5)))</f>
        <v/>
      </c>
      <c r="J13" s="43">
        <f>IF(5&lt;$D13,0,$E13*Assumptions!$C$4*INDEX(Assumptions!$C$8:$C$12,MIN(5-$D13+1,5)))</f>
        <v/>
      </c>
    </row>
    <row r="14" ht="15" customHeight="1" s="36">
      <c r="A14" s="63" t="n">
        <v>13</v>
      </c>
      <c r="B14" s="63" t="inlineStr">
        <is>
          <t>Aquaculture</t>
        </is>
      </c>
      <c r="C14" s="63" t="inlineStr">
        <is>
          <t>A. Agriculture</t>
        </is>
      </c>
      <c r="D14" s="64" t="n">
        <v>4</v>
      </c>
      <c r="E14" s="65" t="n">
        <v>25000000</v>
      </c>
      <c r="F14" s="66">
        <f>IF(1&lt;$D14,0,$E14*Assumptions!$C$4*INDEX(Assumptions!$C$8:$C$12,MIN(1-$D14+1,5)))</f>
        <v/>
      </c>
      <c r="G14" s="66">
        <f>IF(2&lt;$D14,0,$E14*Assumptions!$C$4*INDEX(Assumptions!$C$8:$C$12,MIN(2-$D14+1,5)))</f>
        <v/>
      </c>
      <c r="H14" s="66">
        <f>IF(3&lt;$D14,0,$E14*Assumptions!$C$4*INDEX(Assumptions!$C$8:$C$12,MIN(3-$D14+1,5)))</f>
        <v/>
      </c>
      <c r="I14" s="66">
        <f>IF(4&lt;$D14,0,$E14*Assumptions!$C$4*INDEX(Assumptions!$C$8:$C$12,MIN(4-$D14+1,5)))</f>
        <v/>
      </c>
      <c r="J14" s="66">
        <f>IF(5&lt;$D14,0,$E14*Assumptions!$C$4*INDEX(Assumptions!$C$8:$C$12,MIN(5-$D14+1,5)))</f>
        <v/>
      </c>
    </row>
    <row r="15" ht="15" customHeight="1" s="36">
      <c r="A15" s="41" t="n">
        <v>14</v>
      </c>
      <c r="B15" s="41" t="inlineStr">
        <is>
          <t>Forestry &amp; timber (provenance)</t>
        </is>
      </c>
      <c r="C15" s="41" t="inlineStr">
        <is>
          <t>A. Agriculture</t>
        </is>
      </c>
      <c r="D15" s="67" t="n">
        <v>4</v>
      </c>
      <c r="E15" s="48" t="n">
        <v>35000000</v>
      </c>
      <c r="F15" s="43">
        <f>IF(1&lt;$D15,0,$E15*Assumptions!$C$4*INDEX(Assumptions!$C$8:$C$12,MIN(1-$D15+1,5)))</f>
        <v/>
      </c>
      <c r="G15" s="43">
        <f>IF(2&lt;$D15,0,$E15*Assumptions!$C$4*INDEX(Assumptions!$C$8:$C$12,MIN(2-$D15+1,5)))</f>
        <v/>
      </c>
      <c r="H15" s="43">
        <f>IF(3&lt;$D15,0,$E15*Assumptions!$C$4*INDEX(Assumptions!$C$8:$C$12,MIN(3-$D15+1,5)))</f>
        <v/>
      </c>
      <c r="I15" s="43">
        <f>IF(4&lt;$D15,0,$E15*Assumptions!$C$4*INDEX(Assumptions!$C$8:$C$12,MIN(4-$D15+1,5)))</f>
        <v/>
      </c>
      <c r="J15" s="43">
        <f>IF(5&lt;$D15,0,$E15*Assumptions!$C$4*INDEX(Assumptions!$C$8:$C$12,MIN(5-$D15+1,5)))</f>
        <v/>
      </c>
    </row>
    <row r="16" ht="15" customHeight="1" s="36">
      <c r="A16" s="63" t="n">
        <v>15</v>
      </c>
      <c r="B16" s="63" t="inlineStr">
        <is>
          <t>Edible oils / oilseeds</t>
        </is>
      </c>
      <c r="C16" s="63" t="inlineStr">
        <is>
          <t>A. Agriculture</t>
        </is>
      </c>
      <c r="D16" s="64" t="n">
        <v>4</v>
      </c>
      <c r="E16" s="65" t="n">
        <v>45000000</v>
      </c>
      <c r="F16" s="66">
        <f>IF(1&lt;$D16,0,$E16*Assumptions!$C$4*INDEX(Assumptions!$C$8:$C$12,MIN(1-$D16+1,5)))</f>
        <v/>
      </c>
      <c r="G16" s="66">
        <f>IF(2&lt;$D16,0,$E16*Assumptions!$C$4*INDEX(Assumptions!$C$8:$C$12,MIN(2-$D16+1,5)))</f>
        <v/>
      </c>
      <c r="H16" s="66">
        <f>IF(3&lt;$D16,0,$E16*Assumptions!$C$4*INDEX(Assumptions!$C$8:$C$12,MIN(3-$D16+1,5)))</f>
        <v/>
      </c>
      <c r="I16" s="66">
        <f>IF(4&lt;$D16,0,$E16*Assumptions!$C$4*INDEX(Assumptions!$C$8:$C$12,MIN(4-$D16+1,5)))</f>
        <v/>
      </c>
      <c r="J16" s="66">
        <f>IF(5&lt;$D16,0,$E16*Assumptions!$C$4*INDEX(Assumptions!$C$8:$C$12,MIN(5-$D16+1,5)))</f>
        <v/>
      </c>
    </row>
    <row r="17" ht="15" customHeight="1" s="36">
      <c r="A17" s="41" t="n">
        <v>16</v>
      </c>
      <c r="B17" s="41" t="inlineStr">
        <is>
          <t>Soda ash matchmaking</t>
        </is>
      </c>
      <c r="C17" s="41" t="inlineStr">
        <is>
          <t>B. Minerals</t>
        </is>
      </c>
      <c r="D17" s="67" t="n">
        <v>3</v>
      </c>
      <c r="E17" s="48" t="n">
        <v>10000000</v>
      </c>
      <c r="F17" s="43">
        <f>IF(1&lt;$D17,0,$E17*Assumptions!$C$4*INDEX(Assumptions!$C$8:$C$12,MIN(1-$D17+1,5)))</f>
        <v/>
      </c>
      <c r="G17" s="43">
        <f>IF(2&lt;$D17,0,$E17*Assumptions!$C$4*INDEX(Assumptions!$C$8:$C$12,MIN(2-$D17+1,5)))</f>
        <v/>
      </c>
      <c r="H17" s="43">
        <f>IF(3&lt;$D17,0,$E17*Assumptions!$C$4*INDEX(Assumptions!$C$8:$C$12,MIN(3-$D17+1,5)))</f>
        <v/>
      </c>
      <c r="I17" s="43">
        <f>IF(4&lt;$D17,0,$E17*Assumptions!$C$4*INDEX(Assumptions!$C$8:$C$12,MIN(4-$D17+1,5)))</f>
        <v/>
      </c>
      <c r="J17" s="43">
        <f>IF(5&lt;$D17,0,$E17*Assumptions!$C$4*INDEX(Assumptions!$C$8:$C$12,MIN(5-$D17+1,5)))</f>
        <v/>
      </c>
    </row>
    <row r="18" ht="15" customHeight="1" s="36">
      <c r="A18" s="63" t="n">
        <v>17</v>
      </c>
      <c r="B18" s="63" t="inlineStr">
        <is>
          <t>Titanium / mineral sands matchmaking</t>
        </is>
      </c>
      <c r="C18" s="63" t="inlineStr">
        <is>
          <t>B. Minerals</t>
        </is>
      </c>
      <c r="D18" s="64" t="n">
        <v>3</v>
      </c>
      <c r="E18" s="65" t="n">
        <v>15000000</v>
      </c>
      <c r="F18" s="66">
        <f>IF(1&lt;$D18,0,$E18*Assumptions!$C$4*INDEX(Assumptions!$C$8:$C$12,MIN(1-$D18+1,5)))</f>
        <v/>
      </c>
      <c r="G18" s="66">
        <f>IF(2&lt;$D18,0,$E18*Assumptions!$C$4*INDEX(Assumptions!$C$8:$C$12,MIN(2-$D18+1,5)))</f>
        <v/>
      </c>
      <c r="H18" s="66">
        <f>IF(3&lt;$D18,0,$E18*Assumptions!$C$4*INDEX(Assumptions!$C$8:$C$12,MIN(3-$D18+1,5)))</f>
        <v/>
      </c>
      <c r="I18" s="66">
        <f>IF(4&lt;$D18,0,$E18*Assumptions!$C$4*INDEX(Assumptions!$C$8:$C$12,MIN(4-$D18+1,5)))</f>
        <v/>
      </c>
      <c r="J18" s="66">
        <f>IF(5&lt;$D18,0,$E18*Assumptions!$C$4*INDEX(Assumptions!$C$8:$C$12,MIN(5-$D18+1,5)))</f>
        <v/>
      </c>
    </row>
    <row r="19" ht="15" customHeight="1" s="36">
      <c r="A19" s="41" t="n">
        <v>18</v>
      </c>
      <c r="B19" s="41" t="inlineStr">
        <is>
          <t>Gold (ASM formalization)</t>
        </is>
      </c>
      <c r="C19" s="41" t="inlineStr">
        <is>
          <t>B. Minerals</t>
        </is>
      </c>
      <c r="D19" s="67" t="n">
        <v>3</v>
      </c>
      <c r="E19" s="48" t="n">
        <v>150000000</v>
      </c>
      <c r="F19" s="43">
        <f>IF(1&lt;$D19,0,$E19*Assumptions!$C$4*INDEX(Assumptions!$C$8:$C$12,MIN(1-$D19+1,5)))</f>
        <v/>
      </c>
      <c r="G19" s="43">
        <f>IF(2&lt;$D19,0,$E19*Assumptions!$C$4*INDEX(Assumptions!$C$8:$C$12,MIN(2-$D19+1,5)))</f>
        <v/>
      </c>
      <c r="H19" s="43">
        <f>IF(3&lt;$D19,0,$E19*Assumptions!$C$4*INDEX(Assumptions!$C$8:$C$12,MIN(3-$D19+1,5)))</f>
        <v/>
      </c>
      <c r="I19" s="43">
        <f>IF(4&lt;$D19,0,$E19*Assumptions!$C$4*INDEX(Assumptions!$C$8:$C$12,MIN(4-$D19+1,5)))</f>
        <v/>
      </c>
      <c r="J19" s="43">
        <f>IF(5&lt;$D19,0,$E19*Assumptions!$C$4*INDEX(Assumptions!$C$8:$C$12,MIN(5-$D19+1,5)))</f>
        <v/>
      </c>
    </row>
    <row r="20" ht="15" customHeight="1" s="36">
      <c r="A20" s="63" t="n">
        <v>19</v>
      </c>
      <c r="B20" s="63" t="inlineStr">
        <is>
          <t>Gemstones (tsavorite etc.)</t>
        </is>
      </c>
      <c r="C20" s="63" t="inlineStr">
        <is>
          <t>B. Minerals</t>
        </is>
      </c>
      <c r="D20" s="64" t="n">
        <v>3</v>
      </c>
      <c r="E20" s="65" t="n">
        <v>40000000</v>
      </c>
      <c r="F20" s="66">
        <f>IF(1&lt;$D20,0,$E20*Assumptions!$C$4*INDEX(Assumptions!$C$8:$C$12,MIN(1-$D20+1,5)))</f>
        <v/>
      </c>
      <c r="G20" s="66">
        <f>IF(2&lt;$D20,0,$E20*Assumptions!$C$4*INDEX(Assumptions!$C$8:$C$12,MIN(2-$D20+1,5)))</f>
        <v/>
      </c>
      <c r="H20" s="66">
        <f>IF(3&lt;$D20,0,$E20*Assumptions!$C$4*INDEX(Assumptions!$C$8:$C$12,MIN(3-$D20+1,5)))</f>
        <v/>
      </c>
      <c r="I20" s="66">
        <f>IF(4&lt;$D20,0,$E20*Assumptions!$C$4*INDEX(Assumptions!$C$8:$C$12,MIN(4-$D20+1,5)))</f>
        <v/>
      </c>
      <c r="J20" s="66">
        <f>IF(5&lt;$D20,0,$E20*Assumptions!$C$4*INDEX(Assumptions!$C$8:$C$12,MIN(5-$D20+1,5)))</f>
        <v/>
      </c>
    </row>
    <row r="21" ht="15" customHeight="1" s="36">
      <c r="A21" s="41" t="n">
        <v>20</v>
      </c>
      <c r="B21" s="41" t="inlineStr">
        <is>
          <t>Limestone, sand &amp; aggregates</t>
        </is>
      </c>
      <c r="C21" s="41" t="inlineStr">
        <is>
          <t>B. Minerals</t>
        </is>
      </c>
      <c r="D21" s="67" t="n">
        <v>3</v>
      </c>
      <c r="E21" s="48" t="n">
        <v>60000000</v>
      </c>
      <c r="F21" s="43">
        <f>IF(1&lt;$D21,0,$E21*Assumptions!$C$4*INDEX(Assumptions!$C$8:$C$12,MIN(1-$D21+1,5)))</f>
        <v/>
      </c>
      <c r="G21" s="43">
        <f>IF(2&lt;$D21,0,$E21*Assumptions!$C$4*INDEX(Assumptions!$C$8:$C$12,MIN(2-$D21+1,5)))</f>
        <v/>
      </c>
      <c r="H21" s="43">
        <f>IF(3&lt;$D21,0,$E21*Assumptions!$C$4*INDEX(Assumptions!$C$8:$C$12,MIN(3-$D21+1,5)))</f>
        <v/>
      </c>
      <c r="I21" s="43">
        <f>IF(4&lt;$D21,0,$E21*Assumptions!$C$4*INDEX(Assumptions!$C$8:$C$12,MIN(4-$D21+1,5)))</f>
        <v/>
      </c>
      <c r="J21" s="43">
        <f>IF(5&lt;$D21,0,$E21*Assumptions!$C$4*INDEX(Assumptions!$C$8:$C$12,MIN(5-$D21+1,5)))</f>
        <v/>
      </c>
    </row>
    <row r="22" ht="15" customHeight="1" s="36">
      <c r="A22" s="63" t="n">
        <v>21</v>
      </c>
      <c r="B22" s="63" t="inlineStr">
        <is>
          <t>Fluorspar/coal exploration data</t>
        </is>
      </c>
      <c r="C22" s="63" t="inlineStr">
        <is>
          <t>B. Minerals</t>
        </is>
      </c>
      <c r="D22" s="64" t="n">
        <v>4</v>
      </c>
      <c r="E22" s="65" t="n">
        <v>8000000</v>
      </c>
      <c r="F22" s="66">
        <f>IF(1&lt;$D22,0,$E22*Assumptions!$C$4*INDEX(Assumptions!$C$8:$C$12,MIN(1-$D22+1,5)))</f>
        <v/>
      </c>
      <c r="G22" s="66">
        <f>IF(2&lt;$D22,0,$E22*Assumptions!$C$4*INDEX(Assumptions!$C$8:$C$12,MIN(2-$D22+1,5)))</f>
        <v/>
      </c>
      <c r="H22" s="66">
        <f>IF(3&lt;$D22,0,$E22*Assumptions!$C$4*INDEX(Assumptions!$C$8:$C$12,MIN(3-$D22+1,5)))</f>
        <v/>
      </c>
      <c r="I22" s="66">
        <f>IF(4&lt;$D22,0,$E22*Assumptions!$C$4*INDEX(Assumptions!$C$8:$C$12,MIN(4-$D22+1,5)))</f>
        <v/>
      </c>
      <c r="J22" s="66">
        <f>IF(5&lt;$D22,0,$E22*Assumptions!$C$4*INDEX(Assumptions!$C$8:$C$12,MIN(5-$D22+1,5)))</f>
        <v/>
      </c>
    </row>
    <row r="23" ht="15" customHeight="1" s="36">
      <c r="A23" s="41" t="n">
        <v>22</v>
      </c>
      <c r="B23" s="41" t="inlineStr">
        <is>
          <t>Textiles &amp; apparel investment matchmaking</t>
        </is>
      </c>
      <c r="C23" s="41" t="inlineStr">
        <is>
          <t>C. Industrial &amp; SEZ</t>
        </is>
      </c>
      <c r="D23" s="67" t="n">
        <v>3</v>
      </c>
      <c r="E23" s="48" t="n">
        <v>20000000</v>
      </c>
      <c r="F23" s="43">
        <f>IF(1&lt;$D23,0,$E23*Assumptions!$C$4*INDEX(Assumptions!$C$8:$C$12,MIN(1-$D23+1,5)))</f>
        <v/>
      </c>
      <c r="G23" s="43">
        <f>IF(2&lt;$D23,0,$E23*Assumptions!$C$4*INDEX(Assumptions!$C$8:$C$12,MIN(2-$D23+1,5)))</f>
        <v/>
      </c>
      <c r="H23" s="43">
        <f>IF(3&lt;$D23,0,$E23*Assumptions!$C$4*INDEX(Assumptions!$C$8:$C$12,MIN(3-$D23+1,5)))</f>
        <v/>
      </c>
      <c r="I23" s="43">
        <f>IF(4&lt;$D23,0,$E23*Assumptions!$C$4*INDEX(Assumptions!$C$8:$C$12,MIN(4-$D23+1,5)))</f>
        <v/>
      </c>
      <c r="J23" s="43">
        <f>IF(5&lt;$D23,0,$E23*Assumptions!$C$4*INDEX(Assumptions!$C$8:$C$12,MIN(5-$D23+1,5)))</f>
        <v/>
      </c>
    </row>
    <row r="24" ht="15" customHeight="1" s="36">
      <c r="A24" s="63" t="n">
        <v>23</v>
      </c>
      <c r="B24" s="63" t="inlineStr">
        <is>
          <t>General Industrial/SEZ matchmaking</t>
        </is>
      </c>
      <c r="C24" s="63" t="inlineStr">
        <is>
          <t>C. Industrial &amp; SEZ</t>
        </is>
      </c>
      <c r="D24" s="64" t="n">
        <v>3</v>
      </c>
      <c r="E24" s="65" t="n">
        <v>60000000</v>
      </c>
      <c r="F24" s="66">
        <f>IF(1&lt;$D24,0,$E24*Assumptions!$C$4*INDEX(Assumptions!$C$8:$C$12,MIN(1-$D24+1,5)))</f>
        <v/>
      </c>
      <c r="G24" s="66">
        <f>IF(2&lt;$D24,0,$E24*Assumptions!$C$4*INDEX(Assumptions!$C$8:$C$12,MIN(2-$D24+1,5)))</f>
        <v/>
      </c>
      <c r="H24" s="66">
        <f>IF(3&lt;$D24,0,$E24*Assumptions!$C$4*INDEX(Assumptions!$C$8:$C$12,MIN(3-$D24+1,5)))</f>
        <v/>
      </c>
      <c r="I24" s="66">
        <f>IF(4&lt;$D24,0,$E24*Assumptions!$C$4*INDEX(Assumptions!$C$8:$C$12,MIN(4-$D24+1,5)))</f>
        <v/>
      </c>
      <c r="J24" s="66">
        <f>IF(5&lt;$D24,0,$E24*Assumptions!$C$4*INDEX(Assumptions!$C$8:$C$12,MIN(5-$D24+1,5)))</f>
        <v/>
      </c>
    </row>
    <row r="25" ht="15" customHeight="1" s="36">
      <c r="A25" s="41" t="n">
        <v>24</v>
      </c>
      <c r="B25" s="41" t="inlineStr">
        <is>
          <t>Leather &amp; footwear manufacturing</t>
        </is>
      </c>
      <c r="C25" s="41" t="inlineStr">
        <is>
          <t>C. Industrial &amp; SEZ</t>
        </is>
      </c>
      <c r="D25" s="67" t="n">
        <v>3</v>
      </c>
      <c r="E25" s="48" t="n">
        <v>15000000</v>
      </c>
      <c r="F25" s="43">
        <f>IF(1&lt;$D25,0,$E25*Assumptions!$C$4*INDEX(Assumptions!$C$8:$C$12,MIN(1-$D25+1,5)))</f>
        <v/>
      </c>
      <c r="G25" s="43">
        <f>IF(2&lt;$D25,0,$E25*Assumptions!$C$4*INDEX(Assumptions!$C$8:$C$12,MIN(2-$D25+1,5)))</f>
        <v/>
      </c>
      <c r="H25" s="43">
        <f>IF(3&lt;$D25,0,$E25*Assumptions!$C$4*INDEX(Assumptions!$C$8:$C$12,MIN(3-$D25+1,5)))</f>
        <v/>
      </c>
      <c r="I25" s="43">
        <f>IF(4&lt;$D25,0,$E25*Assumptions!$C$4*INDEX(Assumptions!$C$8:$C$12,MIN(4-$D25+1,5)))</f>
        <v/>
      </c>
      <c r="J25" s="43">
        <f>IF(5&lt;$D25,0,$E25*Assumptions!$C$4*INDEX(Assumptions!$C$8:$C$12,MIN(5-$D25+1,5)))</f>
        <v/>
      </c>
    </row>
    <row r="26" ht="15" customHeight="1" s="36">
      <c r="A26" s="63" t="n">
        <v>25</v>
      </c>
      <c r="B26" s="63" t="inlineStr">
        <is>
          <t>Compliance-as-a-service (SEZ)</t>
        </is>
      </c>
      <c r="C26" s="63" t="inlineStr">
        <is>
          <t>C. Industrial &amp; SEZ</t>
        </is>
      </c>
      <c r="D26" s="64" t="n">
        <v>2</v>
      </c>
      <c r="E26" s="65" t="n">
        <v>25000000</v>
      </c>
      <c r="F26" s="66">
        <f>IF(1&lt;$D26,0,$E26*Assumptions!$C$4*INDEX(Assumptions!$C$8:$C$12,MIN(1-$D26+1,5)))</f>
        <v/>
      </c>
      <c r="G26" s="66">
        <f>IF(2&lt;$D26,0,$E26*Assumptions!$C$4*INDEX(Assumptions!$C$8:$C$12,MIN(2-$D26+1,5)))</f>
        <v/>
      </c>
      <c r="H26" s="66">
        <f>IF(3&lt;$D26,0,$E26*Assumptions!$C$4*INDEX(Assumptions!$C$8:$C$12,MIN(3-$D26+1,5)))</f>
        <v/>
      </c>
      <c r="I26" s="66">
        <f>IF(4&lt;$D26,0,$E26*Assumptions!$C$4*INDEX(Assumptions!$C$8:$C$12,MIN(4-$D26+1,5)))</f>
        <v/>
      </c>
      <c r="J26" s="66">
        <f>IF(5&lt;$D26,0,$E26*Assumptions!$C$4*INDEX(Assumptions!$C$8:$C$12,MIN(5-$D26+1,5)))</f>
        <v/>
      </c>
    </row>
    <row r="27" ht="15" customHeight="1" s="36">
      <c r="A27" s="41" t="n">
        <v>26</v>
      </c>
      <c r="B27" s="41" t="inlineStr">
        <is>
          <t>Workforce-matching-as-a-service</t>
        </is>
      </c>
      <c r="C27" s="41" t="inlineStr">
        <is>
          <t>C. Industrial &amp; SEZ</t>
        </is>
      </c>
      <c r="D27" s="67" t="n">
        <v>4</v>
      </c>
      <c r="E27" s="48" t="n">
        <v>20000000</v>
      </c>
      <c r="F27" s="43">
        <f>IF(1&lt;$D27,0,$E27*Assumptions!$C$4*INDEX(Assumptions!$C$8:$C$12,MIN(1-$D27+1,5)))</f>
        <v/>
      </c>
      <c r="G27" s="43">
        <f>IF(2&lt;$D27,0,$E27*Assumptions!$C$4*INDEX(Assumptions!$C$8:$C$12,MIN(2-$D27+1,5)))</f>
        <v/>
      </c>
      <c r="H27" s="43">
        <f>IF(3&lt;$D27,0,$E27*Assumptions!$C$4*INDEX(Assumptions!$C$8:$C$12,MIN(3-$D27+1,5)))</f>
        <v/>
      </c>
      <c r="I27" s="43">
        <f>IF(4&lt;$D27,0,$E27*Assumptions!$C$4*INDEX(Assumptions!$C$8:$C$12,MIN(4-$D27+1,5)))</f>
        <v/>
      </c>
      <c r="J27" s="43">
        <f>IF(5&lt;$D27,0,$E27*Assumptions!$C$4*INDEX(Assumptions!$C$8:$C$12,MIN(5-$D27+1,5)))</f>
        <v/>
      </c>
    </row>
    <row r="28" ht="15" customHeight="1" s="36">
      <c r="A28" s="63" t="n">
        <v>27</v>
      </c>
      <c r="B28" s="63" t="inlineStr">
        <is>
          <t>Geothermal investment matchmaking</t>
        </is>
      </c>
      <c r="C28" s="63" t="inlineStr">
        <is>
          <t>D. Energy &amp; Infra</t>
        </is>
      </c>
      <c r="D28" s="64" t="n">
        <v>4</v>
      </c>
      <c r="E28" s="65" t="n">
        <v>25000000</v>
      </c>
      <c r="F28" s="66">
        <f>IF(1&lt;$D28,0,$E28*Assumptions!$C$4*INDEX(Assumptions!$C$8:$C$12,MIN(1-$D28+1,5)))</f>
        <v/>
      </c>
      <c r="G28" s="66">
        <f>IF(2&lt;$D28,0,$E28*Assumptions!$C$4*INDEX(Assumptions!$C$8:$C$12,MIN(2-$D28+1,5)))</f>
        <v/>
      </c>
      <c r="H28" s="66">
        <f>IF(3&lt;$D28,0,$E28*Assumptions!$C$4*INDEX(Assumptions!$C$8:$C$12,MIN(3-$D28+1,5)))</f>
        <v/>
      </c>
      <c r="I28" s="66">
        <f>IF(4&lt;$D28,0,$E28*Assumptions!$C$4*INDEX(Assumptions!$C$8:$C$12,MIN(4-$D28+1,5)))</f>
        <v/>
      </c>
      <c r="J28" s="66">
        <f>IF(5&lt;$D28,0,$E28*Assumptions!$C$4*INDEX(Assumptions!$C$8:$C$12,MIN(5-$D28+1,5)))</f>
        <v/>
      </c>
    </row>
    <row r="29" ht="15" customHeight="1" s="36">
      <c r="A29" s="41" t="n">
        <v>28</v>
      </c>
      <c r="B29" s="41" t="inlineStr">
        <is>
          <t>Solar (utility + off-grid)</t>
        </is>
      </c>
      <c r="C29" s="41" t="inlineStr">
        <is>
          <t>D. Energy &amp; Infra</t>
        </is>
      </c>
      <c r="D29" s="67" t="n">
        <v>4</v>
      </c>
      <c r="E29" s="48" t="n">
        <v>35000000</v>
      </c>
      <c r="F29" s="43">
        <f>IF(1&lt;$D29,0,$E29*Assumptions!$C$4*INDEX(Assumptions!$C$8:$C$12,MIN(1-$D29+1,5)))</f>
        <v/>
      </c>
      <c r="G29" s="43">
        <f>IF(2&lt;$D29,0,$E29*Assumptions!$C$4*INDEX(Assumptions!$C$8:$C$12,MIN(2-$D29+1,5)))</f>
        <v/>
      </c>
      <c r="H29" s="43">
        <f>IF(3&lt;$D29,0,$E29*Assumptions!$C$4*INDEX(Assumptions!$C$8:$C$12,MIN(3-$D29+1,5)))</f>
        <v/>
      </c>
      <c r="I29" s="43">
        <f>IF(4&lt;$D29,0,$E29*Assumptions!$C$4*INDEX(Assumptions!$C$8:$C$12,MIN(4-$D29+1,5)))</f>
        <v/>
      </c>
      <c r="J29" s="43">
        <f>IF(5&lt;$D29,0,$E29*Assumptions!$C$4*INDEX(Assumptions!$C$8:$C$12,MIN(5-$D29+1,5)))</f>
        <v/>
      </c>
    </row>
    <row r="30" ht="15" customHeight="1" s="36">
      <c r="A30" s="63" t="n">
        <v>29</v>
      </c>
      <c r="B30" s="63" t="inlineStr">
        <is>
          <t>Wind power matchmaking</t>
        </is>
      </c>
      <c r="C30" s="63" t="inlineStr">
        <is>
          <t>D. Energy &amp; Infra</t>
        </is>
      </c>
      <c r="D30" s="64" t="n">
        <v>4</v>
      </c>
      <c r="E30" s="65" t="n">
        <v>15000000</v>
      </c>
      <c r="F30" s="66">
        <f>IF(1&lt;$D30,0,$E30*Assumptions!$C$4*INDEX(Assumptions!$C$8:$C$12,MIN(1-$D30+1,5)))</f>
        <v/>
      </c>
      <c r="G30" s="66">
        <f>IF(2&lt;$D30,0,$E30*Assumptions!$C$4*INDEX(Assumptions!$C$8:$C$12,MIN(2-$D30+1,5)))</f>
        <v/>
      </c>
      <c r="H30" s="66">
        <f>IF(3&lt;$D30,0,$E30*Assumptions!$C$4*INDEX(Assumptions!$C$8:$C$12,MIN(3-$D30+1,5)))</f>
        <v/>
      </c>
      <c r="I30" s="66">
        <f>IF(4&lt;$D30,0,$E30*Assumptions!$C$4*INDEX(Assumptions!$C$8:$C$12,MIN(4-$D30+1,5)))</f>
        <v/>
      </c>
      <c r="J30" s="66">
        <f>IF(5&lt;$D30,0,$E30*Assumptions!$C$4*INDEX(Assumptions!$C$8:$C$12,MIN(5-$D30+1,5)))</f>
        <v/>
      </c>
    </row>
    <row r="31" ht="15" customHeight="1" s="36">
      <c r="A31" s="41" t="n">
        <v>30</v>
      </c>
      <c r="B31" s="41" t="inlineStr">
        <is>
          <t>Water infrastructure &amp; bulk water</t>
        </is>
      </c>
      <c r="C31" s="41" t="inlineStr">
        <is>
          <t>D. Energy &amp; Infra</t>
        </is>
      </c>
      <c r="D31" s="67" t="n">
        <v>5</v>
      </c>
      <c r="E31" s="48" t="n">
        <v>10000000</v>
      </c>
      <c r="F31" s="43">
        <f>IF(1&lt;$D31,0,$E31*Assumptions!$C$4*INDEX(Assumptions!$C$8:$C$12,MIN(1-$D31+1,5)))</f>
        <v/>
      </c>
      <c r="G31" s="43">
        <f>IF(2&lt;$D31,0,$E31*Assumptions!$C$4*INDEX(Assumptions!$C$8:$C$12,MIN(2-$D31+1,5)))</f>
        <v/>
      </c>
      <c r="H31" s="43">
        <f>IF(3&lt;$D31,0,$E31*Assumptions!$C$4*INDEX(Assumptions!$C$8:$C$12,MIN(3-$D31+1,5)))</f>
        <v/>
      </c>
      <c r="I31" s="43">
        <f>IF(4&lt;$D31,0,$E31*Assumptions!$C$4*INDEX(Assumptions!$C$8:$C$12,MIN(4-$D31+1,5)))</f>
        <v/>
      </c>
      <c r="J31" s="43">
        <f>IF(5&lt;$D31,0,$E31*Assumptions!$C$4*INDEX(Assumptions!$C$8:$C$12,MIN(5-$D31+1,5)))</f>
        <v/>
      </c>
    </row>
    <row r="32" ht="15" customHeight="1" s="36">
      <c r="A32" s="63" t="n">
        <v>31</v>
      </c>
      <c r="B32" s="63" t="inlineStr">
        <is>
          <t>Residential sale</t>
        </is>
      </c>
      <c r="C32" s="63" t="inlineStr">
        <is>
          <t>E. Real Estate</t>
        </is>
      </c>
      <c r="D32" s="64" t="n">
        <v>1</v>
      </c>
      <c r="E32" s="65" t="n">
        <v>90000000</v>
      </c>
      <c r="F32" s="66">
        <f>IF(1&lt;$D32,0,$E32*Assumptions!$C$4*INDEX(Assumptions!$C$8:$C$12,MIN(1-$D32+1,5)))</f>
        <v/>
      </c>
      <c r="G32" s="66">
        <f>IF(2&lt;$D32,0,$E32*Assumptions!$C$4*INDEX(Assumptions!$C$8:$C$12,MIN(2-$D32+1,5)))</f>
        <v/>
      </c>
      <c r="H32" s="66">
        <f>IF(3&lt;$D32,0,$E32*Assumptions!$C$4*INDEX(Assumptions!$C$8:$C$12,MIN(3-$D32+1,5)))</f>
        <v/>
      </c>
      <c r="I32" s="66">
        <f>IF(4&lt;$D32,0,$E32*Assumptions!$C$4*INDEX(Assumptions!$C$8:$C$12,MIN(4-$D32+1,5)))</f>
        <v/>
      </c>
      <c r="J32" s="66">
        <f>IF(5&lt;$D32,0,$E32*Assumptions!$C$4*INDEX(Assumptions!$C$8:$C$12,MIN(5-$D32+1,5)))</f>
        <v/>
      </c>
    </row>
    <row r="33" ht="15" customHeight="1" s="36">
      <c r="A33" s="41" t="n">
        <v>32</v>
      </c>
      <c r="B33" s="41" t="inlineStr">
        <is>
          <t>Residential rental</t>
        </is>
      </c>
      <c r="C33" s="41" t="inlineStr">
        <is>
          <t>E. Real Estate</t>
        </is>
      </c>
      <c r="D33" s="67" t="n">
        <v>1</v>
      </c>
      <c r="E33" s="48" t="n">
        <v>70000000</v>
      </c>
      <c r="F33" s="43">
        <f>IF(1&lt;$D33,0,$E33*Assumptions!$C$4*INDEX(Assumptions!$C$8:$C$12,MIN(1-$D33+1,5)))</f>
        <v/>
      </c>
      <c r="G33" s="43">
        <f>IF(2&lt;$D33,0,$E33*Assumptions!$C$4*INDEX(Assumptions!$C$8:$C$12,MIN(2-$D33+1,5)))</f>
        <v/>
      </c>
      <c r="H33" s="43">
        <f>IF(3&lt;$D33,0,$E33*Assumptions!$C$4*INDEX(Assumptions!$C$8:$C$12,MIN(3-$D33+1,5)))</f>
        <v/>
      </c>
      <c r="I33" s="43">
        <f>IF(4&lt;$D33,0,$E33*Assumptions!$C$4*INDEX(Assumptions!$C$8:$C$12,MIN(4-$D33+1,5)))</f>
        <v/>
      </c>
      <c r="J33" s="43">
        <f>IF(5&lt;$D33,0,$E33*Assumptions!$C$4*INDEX(Assumptions!$C$8:$C$12,MIN(5-$D33+1,5)))</f>
        <v/>
      </c>
    </row>
    <row r="34" ht="15" customHeight="1" s="36">
      <c r="A34" s="63" t="n">
        <v>33</v>
      </c>
      <c r="B34" s="63" t="inlineStr">
        <is>
          <t>Commercial &amp; office space</t>
        </is>
      </c>
      <c r="C34" s="63" t="inlineStr">
        <is>
          <t>E. Real Estate</t>
        </is>
      </c>
      <c r="D34" s="64" t="n">
        <v>1</v>
      </c>
      <c r="E34" s="65" t="n">
        <v>60000000</v>
      </c>
      <c r="F34" s="66">
        <f>IF(1&lt;$D34,0,$E34*Assumptions!$C$4*INDEX(Assumptions!$C$8:$C$12,MIN(1-$D34+1,5)))</f>
        <v/>
      </c>
      <c r="G34" s="66">
        <f>IF(2&lt;$D34,0,$E34*Assumptions!$C$4*INDEX(Assumptions!$C$8:$C$12,MIN(2-$D34+1,5)))</f>
        <v/>
      </c>
      <c r="H34" s="66">
        <f>IF(3&lt;$D34,0,$E34*Assumptions!$C$4*INDEX(Assumptions!$C$8:$C$12,MIN(3-$D34+1,5)))</f>
        <v/>
      </c>
      <c r="I34" s="66">
        <f>IF(4&lt;$D34,0,$E34*Assumptions!$C$4*INDEX(Assumptions!$C$8:$C$12,MIN(4-$D34+1,5)))</f>
        <v/>
      </c>
      <c r="J34" s="66">
        <f>IF(5&lt;$D34,0,$E34*Assumptions!$C$4*INDEX(Assumptions!$C$8:$C$12,MIN(5-$D34+1,5)))</f>
        <v/>
      </c>
    </row>
    <row r="35" ht="15" customHeight="1" s="36">
      <c r="A35" s="41" t="n">
        <v>34</v>
      </c>
      <c r="B35" s="41" t="inlineStr">
        <is>
          <t>Industrial &amp; warehousing space</t>
        </is>
      </c>
      <c r="C35" s="41" t="inlineStr">
        <is>
          <t>E. Real Estate</t>
        </is>
      </c>
      <c r="D35" s="67" t="n">
        <v>2</v>
      </c>
      <c r="E35" s="48" t="n">
        <v>40000000</v>
      </c>
      <c r="F35" s="43">
        <f>IF(1&lt;$D35,0,$E35*Assumptions!$C$4*INDEX(Assumptions!$C$8:$C$12,MIN(1-$D35+1,5)))</f>
        <v/>
      </c>
      <c r="G35" s="43">
        <f>IF(2&lt;$D35,0,$E35*Assumptions!$C$4*INDEX(Assumptions!$C$8:$C$12,MIN(2-$D35+1,5)))</f>
        <v/>
      </c>
      <c r="H35" s="43">
        <f>IF(3&lt;$D35,0,$E35*Assumptions!$C$4*INDEX(Assumptions!$C$8:$C$12,MIN(3-$D35+1,5)))</f>
        <v/>
      </c>
      <c r="I35" s="43">
        <f>IF(4&lt;$D35,0,$E35*Assumptions!$C$4*INDEX(Assumptions!$C$8:$C$12,MIN(4-$D35+1,5)))</f>
        <v/>
      </c>
      <c r="J35" s="43">
        <f>IF(5&lt;$D35,0,$E35*Assumptions!$C$4*INDEX(Assumptions!$C$8:$C$12,MIN(5-$D35+1,5)))</f>
        <v/>
      </c>
    </row>
    <row r="36" ht="15" customHeight="1" s="36">
      <c r="A36" s="63" t="n">
        <v>35</v>
      </c>
      <c r="B36" s="63" t="inlineStr">
        <is>
          <t>Agricultural land banking</t>
        </is>
      </c>
      <c r="C36" s="63" t="inlineStr">
        <is>
          <t>E. Real Estate</t>
        </is>
      </c>
      <c r="D36" s="64" t="n">
        <v>2</v>
      </c>
      <c r="E36" s="65" t="n">
        <v>30000000</v>
      </c>
      <c r="F36" s="66">
        <f>IF(1&lt;$D36,0,$E36*Assumptions!$C$4*INDEX(Assumptions!$C$8:$C$12,MIN(1-$D36+1,5)))</f>
        <v/>
      </c>
      <c r="G36" s="66">
        <f>IF(2&lt;$D36,0,$E36*Assumptions!$C$4*INDEX(Assumptions!$C$8:$C$12,MIN(2-$D36+1,5)))</f>
        <v/>
      </c>
      <c r="H36" s="66">
        <f>IF(3&lt;$D36,0,$E36*Assumptions!$C$4*INDEX(Assumptions!$C$8:$C$12,MIN(3-$D36+1,5)))</f>
        <v/>
      </c>
      <c r="I36" s="66">
        <f>IF(4&lt;$D36,0,$E36*Assumptions!$C$4*INDEX(Assumptions!$C$8:$C$12,MIN(4-$D36+1,5)))</f>
        <v/>
      </c>
      <c r="J36" s="66">
        <f>IF(5&lt;$D36,0,$E36*Assumptions!$C$4*INDEX(Assumptions!$C$8:$C$12,MIN(5-$D36+1,5)))</f>
        <v/>
      </c>
    </row>
    <row r="37" ht="15" customHeight="1" s="36">
      <c r="A37" s="41" t="n">
        <v>36</v>
      </c>
      <c r="B37" s="41" t="inlineStr">
        <is>
          <t>Title insurance</t>
        </is>
      </c>
      <c r="C37" s="41" t="inlineStr">
        <is>
          <t>E. Real Estate</t>
        </is>
      </c>
      <c r="D37" s="67" t="n">
        <v>2</v>
      </c>
      <c r="E37" s="48" t="n">
        <v>15000000</v>
      </c>
      <c r="F37" s="43">
        <f>IF(1&lt;$D37,0,$E37*Assumptions!$C$4*INDEX(Assumptions!$C$8:$C$12,MIN(1-$D37+1,5)))</f>
        <v/>
      </c>
      <c r="G37" s="43">
        <f>IF(2&lt;$D37,0,$E37*Assumptions!$C$4*INDEX(Assumptions!$C$8:$C$12,MIN(2-$D37+1,5)))</f>
        <v/>
      </c>
      <c r="H37" s="43">
        <f>IF(3&lt;$D37,0,$E37*Assumptions!$C$4*INDEX(Assumptions!$C$8:$C$12,MIN(3-$D37+1,5)))</f>
        <v/>
      </c>
      <c r="I37" s="43">
        <f>IF(4&lt;$D37,0,$E37*Assumptions!$C$4*INDEX(Assumptions!$C$8:$C$12,MIN(4-$D37+1,5)))</f>
        <v/>
      </c>
      <c r="J37" s="43">
        <f>IF(5&lt;$D37,0,$E37*Assumptions!$C$4*INDEX(Assumptions!$C$8:$C$12,MIN(5-$D37+1,5)))</f>
        <v/>
      </c>
    </row>
    <row r="38" ht="15" customHeight="1" s="36">
      <c r="A38" s="63" t="n">
        <v>37</v>
      </c>
      <c r="B38" s="63" t="inlineStr">
        <is>
          <t>Wildlife &amp; safari tourism</t>
        </is>
      </c>
      <c r="C38" s="63" t="inlineStr">
        <is>
          <t>F. Tourism</t>
        </is>
      </c>
      <c r="D38" s="64" t="n">
        <v>1</v>
      </c>
      <c r="E38" s="65" t="n">
        <v>200000000</v>
      </c>
      <c r="F38" s="66">
        <f>IF(1&lt;$D38,0,$E38*Assumptions!$C$4*INDEX(Assumptions!$C$8:$C$12,MIN(1-$D38+1,5)))</f>
        <v/>
      </c>
      <c r="G38" s="66">
        <f>IF(2&lt;$D38,0,$E38*Assumptions!$C$4*INDEX(Assumptions!$C$8:$C$12,MIN(2-$D38+1,5)))</f>
        <v/>
      </c>
      <c r="H38" s="66">
        <f>IF(3&lt;$D38,0,$E38*Assumptions!$C$4*INDEX(Assumptions!$C$8:$C$12,MIN(3-$D38+1,5)))</f>
        <v/>
      </c>
      <c r="I38" s="66">
        <f>IF(4&lt;$D38,0,$E38*Assumptions!$C$4*INDEX(Assumptions!$C$8:$C$12,MIN(4-$D38+1,5)))</f>
        <v/>
      </c>
      <c r="J38" s="66">
        <f>IF(5&lt;$D38,0,$E38*Assumptions!$C$4*INDEX(Assumptions!$C$8:$C$12,MIN(5-$D38+1,5)))</f>
        <v/>
      </c>
    </row>
    <row r="39" ht="15" customHeight="1" s="36">
      <c r="A39" s="41" t="n">
        <v>38</v>
      </c>
      <c r="B39" s="41" t="inlineStr">
        <is>
          <t>Coastal &amp; beach tourism</t>
        </is>
      </c>
      <c r="C39" s="41" t="inlineStr">
        <is>
          <t>F. Tourism</t>
        </is>
      </c>
      <c r="D39" s="67" t="n">
        <v>1</v>
      </c>
      <c r="E39" s="48" t="n">
        <v>150000000</v>
      </c>
      <c r="F39" s="43">
        <f>IF(1&lt;$D39,0,$E39*Assumptions!$C$4*INDEX(Assumptions!$C$8:$C$12,MIN(1-$D39+1,5)))</f>
        <v/>
      </c>
      <c r="G39" s="43">
        <f>IF(2&lt;$D39,0,$E39*Assumptions!$C$4*INDEX(Assumptions!$C$8:$C$12,MIN(2-$D39+1,5)))</f>
        <v/>
      </c>
      <c r="H39" s="43">
        <f>IF(3&lt;$D39,0,$E39*Assumptions!$C$4*INDEX(Assumptions!$C$8:$C$12,MIN(3-$D39+1,5)))</f>
        <v/>
      </c>
      <c r="I39" s="43">
        <f>IF(4&lt;$D39,0,$E39*Assumptions!$C$4*INDEX(Assumptions!$C$8:$C$12,MIN(4-$D39+1,5)))</f>
        <v/>
      </c>
      <c r="J39" s="43">
        <f>IF(5&lt;$D39,0,$E39*Assumptions!$C$4*INDEX(Assumptions!$C$8:$C$12,MIN(5-$D39+1,5)))</f>
        <v/>
      </c>
    </row>
    <row r="40" ht="15" customHeight="1" s="36">
      <c r="A40" s="63" t="n">
        <v>39</v>
      </c>
      <c r="B40" s="63" t="inlineStr">
        <is>
          <t>Cultural &amp; heritage tourism</t>
        </is>
      </c>
      <c r="C40" s="63" t="inlineStr">
        <is>
          <t>F. Tourism</t>
        </is>
      </c>
      <c r="D40" s="64" t="n">
        <v>2</v>
      </c>
      <c r="E40" s="65" t="n">
        <v>40000000</v>
      </c>
      <c r="F40" s="66">
        <f>IF(1&lt;$D40,0,$E40*Assumptions!$C$4*INDEX(Assumptions!$C$8:$C$12,MIN(1-$D40+1,5)))</f>
        <v/>
      </c>
      <c r="G40" s="66">
        <f>IF(2&lt;$D40,0,$E40*Assumptions!$C$4*INDEX(Assumptions!$C$8:$C$12,MIN(2-$D40+1,5)))</f>
        <v/>
      </c>
      <c r="H40" s="66">
        <f>IF(3&lt;$D40,0,$E40*Assumptions!$C$4*INDEX(Assumptions!$C$8:$C$12,MIN(3-$D40+1,5)))</f>
        <v/>
      </c>
      <c r="I40" s="66">
        <f>IF(4&lt;$D40,0,$E40*Assumptions!$C$4*INDEX(Assumptions!$C$8:$C$12,MIN(4-$D40+1,5)))</f>
        <v/>
      </c>
      <c r="J40" s="66">
        <f>IF(5&lt;$D40,0,$E40*Assumptions!$C$4*INDEX(Assumptions!$C$8:$C$12,MIN(5-$D40+1,5)))</f>
        <v/>
      </c>
    </row>
    <row r="41" ht="15" customHeight="1" s="36">
      <c r="A41" s="41" t="n">
        <v>40</v>
      </c>
      <c r="B41" s="41" t="inlineStr">
        <is>
          <t>MICE tourism</t>
        </is>
      </c>
      <c r="C41" s="41" t="inlineStr">
        <is>
          <t>F. Tourism</t>
        </is>
      </c>
      <c r="D41" s="67" t="n">
        <v>2</v>
      </c>
      <c r="E41" s="48" t="n">
        <v>60000000</v>
      </c>
      <c r="F41" s="43">
        <f>IF(1&lt;$D41,0,$E41*Assumptions!$C$4*INDEX(Assumptions!$C$8:$C$12,MIN(1-$D41+1,5)))</f>
        <v/>
      </c>
      <c r="G41" s="43">
        <f>IF(2&lt;$D41,0,$E41*Assumptions!$C$4*INDEX(Assumptions!$C$8:$C$12,MIN(2-$D41+1,5)))</f>
        <v/>
      </c>
      <c r="H41" s="43">
        <f>IF(3&lt;$D41,0,$E41*Assumptions!$C$4*INDEX(Assumptions!$C$8:$C$12,MIN(3-$D41+1,5)))</f>
        <v/>
      </c>
      <c r="I41" s="43">
        <f>IF(4&lt;$D41,0,$E41*Assumptions!$C$4*INDEX(Assumptions!$C$8:$C$12,MIN(4-$D41+1,5)))</f>
        <v/>
      </c>
      <c r="J41" s="43">
        <f>IF(5&lt;$D41,0,$E41*Assumptions!$C$4*INDEX(Assumptions!$C$8:$C$12,MIN(5-$D41+1,5)))</f>
        <v/>
      </c>
    </row>
    <row r="42" ht="15" customHeight="1" s="36">
      <c r="A42" s="63" t="n">
        <v>41</v>
      </c>
      <c r="B42" s="63" t="inlineStr">
        <is>
          <t>Adventure &amp; mountain tourism</t>
        </is>
      </c>
      <c r="C42" s="63" t="inlineStr">
        <is>
          <t>F. Tourism</t>
        </is>
      </c>
      <c r="D42" s="64" t="n">
        <v>3</v>
      </c>
      <c r="E42" s="65" t="n">
        <v>25000000</v>
      </c>
      <c r="F42" s="66">
        <f>IF(1&lt;$D42,0,$E42*Assumptions!$C$4*INDEX(Assumptions!$C$8:$C$12,MIN(1-$D42+1,5)))</f>
        <v/>
      </c>
      <c r="G42" s="66">
        <f>IF(2&lt;$D42,0,$E42*Assumptions!$C$4*INDEX(Assumptions!$C$8:$C$12,MIN(2-$D42+1,5)))</f>
        <v/>
      </c>
      <c r="H42" s="66">
        <f>IF(3&lt;$D42,0,$E42*Assumptions!$C$4*INDEX(Assumptions!$C$8:$C$12,MIN(3-$D42+1,5)))</f>
        <v/>
      </c>
      <c r="I42" s="66">
        <f>IF(4&lt;$D42,0,$E42*Assumptions!$C$4*INDEX(Assumptions!$C$8:$C$12,MIN(4-$D42+1,5)))</f>
        <v/>
      </c>
      <c r="J42" s="66">
        <f>IF(5&lt;$D42,0,$E42*Assumptions!$C$4*INDEX(Assumptions!$C$8:$C$12,MIN(5-$D42+1,5)))</f>
        <v/>
      </c>
    </row>
    <row r="43" ht="15" customHeight="1" s="36">
      <c r="A43" s="41" t="n">
        <v>42</v>
      </c>
      <c r="B43" s="41" t="inlineStr">
        <is>
          <t>Diaspora 'come home' tourism</t>
        </is>
      </c>
      <c r="C43" s="41" t="inlineStr">
        <is>
          <t>F. Tourism</t>
        </is>
      </c>
      <c r="D43" s="67" t="n">
        <v>3</v>
      </c>
      <c r="E43" s="48" t="n">
        <v>50000000</v>
      </c>
      <c r="F43" s="43">
        <f>IF(1&lt;$D43,0,$E43*Assumptions!$C$4*INDEX(Assumptions!$C$8:$C$12,MIN(1-$D43+1,5)))</f>
        <v/>
      </c>
      <c r="G43" s="43">
        <f>IF(2&lt;$D43,0,$E43*Assumptions!$C$4*INDEX(Assumptions!$C$8:$C$12,MIN(2-$D43+1,5)))</f>
        <v/>
      </c>
      <c r="H43" s="43">
        <f>IF(3&lt;$D43,0,$E43*Assumptions!$C$4*INDEX(Assumptions!$C$8:$C$12,MIN(3-$D43+1,5)))</f>
        <v/>
      </c>
      <c r="I43" s="43">
        <f>IF(4&lt;$D43,0,$E43*Assumptions!$C$4*INDEX(Assumptions!$C$8:$C$12,MIN(4-$D43+1,5)))</f>
        <v/>
      </c>
      <c r="J43" s="43">
        <f>IF(5&lt;$D43,0,$E43*Assumptions!$C$4*INDEX(Assumptions!$C$8:$C$12,MIN(5-$D43+1,5)))</f>
        <v/>
      </c>
    </row>
    <row r="44" ht="15" customHeight="1" s="36">
      <c r="A44" s="63" t="n">
        <v>43</v>
      </c>
      <c r="B44" s="63" t="inlineStr">
        <is>
          <t>Diaspora investment gateway</t>
        </is>
      </c>
      <c r="C44" s="63" t="inlineStr">
        <is>
          <t>F. Tourism</t>
        </is>
      </c>
      <c r="D44" s="64" t="n">
        <v>5</v>
      </c>
      <c r="E44" s="65" t="n">
        <v>0</v>
      </c>
      <c r="F44" s="66">
        <f>IF(1&lt;$D44,0,$E44*Assumptions!$C$4*INDEX(Assumptions!$C$8:$C$12,MIN(1-$D44+1,5)))</f>
        <v/>
      </c>
      <c r="G44" s="66">
        <f>IF(2&lt;$D44,0,$E44*Assumptions!$C$4*INDEX(Assumptions!$C$8:$C$12,MIN(2-$D44+1,5)))</f>
        <v/>
      </c>
      <c r="H44" s="66">
        <f>IF(3&lt;$D44,0,$E44*Assumptions!$C$4*INDEX(Assumptions!$C$8:$C$12,MIN(3-$D44+1,5)))</f>
        <v/>
      </c>
      <c r="I44" s="66">
        <f>IF(4&lt;$D44,0,$E44*Assumptions!$C$4*INDEX(Assumptions!$C$8:$C$12,MIN(4-$D44+1,5)))</f>
        <v/>
      </c>
      <c r="J44" s="66">
        <f>IF(5&lt;$D44,0,$E44*Assumptions!$C$4*INDEX(Assumptions!$C$8:$C$12,MIN(5-$D44+1,5)))</f>
        <v/>
      </c>
    </row>
    <row r="45" ht="15" customHeight="1" s="36">
      <c r="A45" s="41" t="n">
        <v>44</v>
      </c>
      <c r="B45" s="41" t="inlineStr">
        <is>
          <t>General marketplace commission</t>
        </is>
      </c>
      <c r="C45" s="41" t="inlineStr">
        <is>
          <t>G. Commerce &amp; Discovery</t>
        </is>
      </c>
      <c r="D45" s="67" t="n">
        <v>1</v>
      </c>
      <c r="E45" s="48" t="n">
        <v>300000000</v>
      </c>
      <c r="F45" s="43">
        <f>IF(1&lt;$D45,0,$E45*Assumptions!$C$4*INDEX(Assumptions!$C$8:$C$12,MIN(1-$D45+1,5)))</f>
        <v/>
      </c>
      <c r="G45" s="43">
        <f>IF(2&lt;$D45,0,$E45*Assumptions!$C$4*INDEX(Assumptions!$C$8:$C$12,MIN(2-$D45+1,5)))</f>
        <v/>
      </c>
      <c r="H45" s="43">
        <f>IF(3&lt;$D45,0,$E45*Assumptions!$C$4*INDEX(Assumptions!$C$8:$C$12,MIN(3-$D45+1,5)))</f>
        <v/>
      </c>
      <c r="I45" s="43">
        <f>IF(4&lt;$D45,0,$E45*Assumptions!$C$4*INDEX(Assumptions!$C$8:$C$12,MIN(4-$D45+1,5)))</f>
        <v/>
      </c>
      <c r="J45" s="43">
        <f>IF(5&lt;$D45,0,$E45*Assumptions!$C$4*INDEX(Assumptions!$C$8:$C$12,MIN(5-$D45+1,5)))</f>
        <v/>
      </c>
    </row>
    <row r="46" ht="15" customHeight="1" s="36">
      <c r="A46" s="63" t="n">
        <v>45</v>
      </c>
      <c r="B46" s="63" t="inlineStr">
        <is>
          <t>Exhibitor subscriptions</t>
        </is>
      </c>
      <c r="C46" s="63" t="inlineStr">
        <is>
          <t>G. Commerce &amp; Discovery</t>
        </is>
      </c>
      <c r="D46" s="64" t="n">
        <v>1</v>
      </c>
      <c r="E46" s="65" t="n">
        <v>40000000</v>
      </c>
      <c r="F46" s="66">
        <f>IF(1&lt;$D46,0,$E46*Assumptions!$C$4*INDEX(Assumptions!$C$8:$C$12,MIN(1-$D46+1,5)))</f>
        <v/>
      </c>
      <c r="G46" s="66">
        <f>IF(2&lt;$D46,0,$E46*Assumptions!$C$4*INDEX(Assumptions!$C$8:$C$12,MIN(2-$D46+1,5)))</f>
        <v/>
      </c>
      <c r="H46" s="66">
        <f>IF(3&lt;$D46,0,$E46*Assumptions!$C$4*INDEX(Assumptions!$C$8:$C$12,MIN(3-$D46+1,5)))</f>
        <v/>
      </c>
      <c r="I46" s="66">
        <f>IF(4&lt;$D46,0,$E46*Assumptions!$C$4*INDEX(Assumptions!$C$8:$C$12,MIN(4-$D46+1,5)))</f>
        <v/>
      </c>
      <c r="J46" s="66">
        <f>IF(5&lt;$D46,0,$E46*Assumptions!$C$4*INDEX(Assumptions!$C$8:$C$12,MIN(5-$D46+1,5)))</f>
        <v/>
      </c>
    </row>
    <row r="47" ht="15" customHeight="1" s="36">
      <c r="A47" s="41" t="n">
        <v>46</v>
      </c>
      <c r="B47" s="41" t="inlineStr">
        <is>
          <t>Embedded insurance distribution</t>
        </is>
      </c>
      <c r="C47" s="41" t="inlineStr">
        <is>
          <t>G. Commerce &amp; Discovery</t>
        </is>
      </c>
      <c r="D47" s="67" t="n">
        <v>1</v>
      </c>
      <c r="E47" s="48" t="n">
        <v>50000000</v>
      </c>
      <c r="F47" s="43">
        <f>IF(1&lt;$D47,0,$E47*Assumptions!$C$4*INDEX(Assumptions!$C$8:$C$12,MIN(1-$D47+1,5)))</f>
        <v/>
      </c>
      <c r="G47" s="43">
        <f>IF(2&lt;$D47,0,$E47*Assumptions!$C$4*INDEX(Assumptions!$C$8:$C$12,MIN(2-$D47+1,5)))</f>
        <v/>
      </c>
      <c r="H47" s="43">
        <f>IF(3&lt;$D47,0,$E47*Assumptions!$C$4*INDEX(Assumptions!$C$8:$C$12,MIN(3-$D47+1,5)))</f>
        <v/>
      </c>
      <c r="I47" s="43">
        <f>IF(4&lt;$D47,0,$E47*Assumptions!$C$4*INDEX(Assumptions!$C$8:$C$12,MIN(4-$D47+1,5)))</f>
        <v/>
      </c>
      <c r="J47" s="43">
        <f>IF(5&lt;$D47,0,$E47*Assumptions!$C$4*INDEX(Assumptions!$C$8:$C$12,MIN(5-$D47+1,5)))</f>
        <v/>
      </c>
    </row>
    <row r="48" ht="15" customHeight="1" s="36">
      <c r="A48" s="63" t="n">
        <v>47</v>
      </c>
      <c r="B48" s="63" t="inlineStr">
        <is>
          <t>County-pavilion trade</t>
        </is>
      </c>
      <c r="C48" s="63" t="inlineStr">
        <is>
          <t>G. Commerce &amp; Discovery</t>
        </is>
      </c>
      <c r="D48" s="64" t="n">
        <v>3</v>
      </c>
      <c r="E48" s="65" t="n">
        <v>20000000</v>
      </c>
      <c r="F48" s="66">
        <f>IF(1&lt;$D48,0,$E48*Assumptions!$C$4*INDEX(Assumptions!$C$8:$C$12,MIN(1-$D48+1,5)))</f>
        <v/>
      </c>
      <c r="G48" s="66">
        <f>IF(2&lt;$D48,0,$E48*Assumptions!$C$4*INDEX(Assumptions!$C$8:$C$12,MIN(2-$D48+1,5)))</f>
        <v/>
      </c>
      <c r="H48" s="66">
        <f>IF(3&lt;$D48,0,$E48*Assumptions!$C$4*INDEX(Assumptions!$C$8:$C$12,MIN(3-$D48+1,5)))</f>
        <v/>
      </c>
      <c r="I48" s="66">
        <f>IF(4&lt;$D48,0,$E48*Assumptions!$C$4*INDEX(Assumptions!$C$8:$C$12,MIN(4-$D48+1,5)))</f>
        <v/>
      </c>
      <c r="J48" s="66">
        <f>IF(5&lt;$D48,0,$E48*Assumptions!$C$4*INDEX(Assumptions!$C$8:$C$12,MIN(5-$D48+1,5)))</f>
        <v/>
      </c>
    </row>
    <row r="49" ht="15" customHeight="1" s="36">
      <c r="A49" s="41" t="n">
        <v>48</v>
      </c>
      <c r="B49" s="41" t="inlineStr">
        <is>
          <t>Exhibition booths &amp; event tickets</t>
        </is>
      </c>
      <c r="C49" s="41" t="inlineStr">
        <is>
          <t>G. Commerce &amp; Discovery</t>
        </is>
      </c>
      <c r="D49" s="67" t="n">
        <v>3</v>
      </c>
      <c r="E49" s="48" t="n">
        <v>25000000</v>
      </c>
      <c r="F49" s="43">
        <f>IF(1&lt;$D49,0,$E49*Assumptions!$C$4*INDEX(Assumptions!$C$8:$C$12,MIN(1-$D49+1,5)))</f>
        <v/>
      </c>
      <c r="G49" s="43">
        <f>IF(2&lt;$D49,0,$E49*Assumptions!$C$4*INDEX(Assumptions!$C$8:$C$12,MIN(2-$D49+1,5)))</f>
        <v/>
      </c>
      <c r="H49" s="43">
        <f>IF(3&lt;$D49,0,$E49*Assumptions!$C$4*INDEX(Assumptions!$C$8:$C$12,MIN(3-$D49+1,5)))</f>
        <v/>
      </c>
      <c r="I49" s="43">
        <f>IF(4&lt;$D49,0,$E49*Assumptions!$C$4*INDEX(Assumptions!$C$8:$C$12,MIN(4-$D49+1,5)))</f>
        <v/>
      </c>
      <c r="J49" s="43">
        <f>IF(5&lt;$D49,0,$E49*Assumptions!$C$4*INDEX(Assumptions!$C$8:$C$12,MIN(5-$D49+1,5)))</f>
        <v/>
      </c>
    </row>
    <row r="50" ht="15" customHeight="1" s="36">
      <c r="A50" s="63" t="n">
        <v>49</v>
      </c>
      <c r="B50" s="63" t="inlineStr">
        <is>
          <t>Advertising &amp; digital-screen inventory</t>
        </is>
      </c>
      <c r="C50" s="63" t="inlineStr">
        <is>
          <t>G. Commerce &amp; Discovery</t>
        </is>
      </c>
      <c r="D50" s="64" t="n">
        <v>1</v>
      </c>
      <c r="E50" s="65" t="n">
        <v>60000000</v>
      </c>
      <c r="F50" s="66">
        <f>IF(1&lt;$D50,0,$E50*Assumptions!$C$4*INDEX(Assumptions!$C$8:$C$12,MIN(1-$D50+1,5)))</f>
        <v/>
      </c>
      <c r="G50" s="66">
        <f>IF(2&lt;$D50,0,$E50*Assumptions!$C$4*INDEX(Assumptions!$C$8:$C$12,MIN(2-$D50+1,5)))</f>
        <v/>
      </c>
      <c r="H50" s="66">
        <f>IF(3&lt;$D50,0,$E50*Assumptions!$C$4*INDEX(Assumptions!$C$8:$C$12,MIN(3-$D50+1,5)))</f>
        <v/>
      </c>
      <c r="I50" s="66">
        <f>IF(4&lt;$D50,0,$E50*Assumptions!$C$4*INDEX(Assumptions!$C$8:$C$12,MIN(4-$D50+1,5)))</f>
        <v/>
      </c>
      <c r="J50" s="66">
        <f>IF(5&lt;$D50,0,$E50*Assumptions!$C$4*INDEX(Assumptions!$C$8:$C$12,MIN(5-$D50+1,5)))</f>
        <v/>
      </c>
    </row>
    <row r="51" ht="15" customHeight="1" s="36">
      <c r="A51" s="41" t="n">
        <v>50</v>
      </c>
      <c r="B51" s="41" t="inlineStr">
        <is>
          <t>Livestream viewer passes</t>
        </is>
      </c>
      <c r="C51" s="41" t="inlineStr">
        <is>
          <t>G. Commerce &amp; Discovery</t>
        </is>
      </c>
      <c r="D51" s="67" t="n">
        <v>3</v>
      </c>
      <c r="E51" s="48" t="n">
        <v>10000000</v>
      </c>
      <c r="F51" s="43">
        <f>IF(1&lt;$D51,0,$E51*Assumptions!$C$4*INDEX(Assumptions!$C$8:$C$12,MIN(1-$D51+1,5)))</f>
        <v/>
      </c>
      <c r="G51" s="43">
        <f>IF(2&lt;$D51,0,$E51*Assumptions!$C$4*INDEX(Assumptions!$C$8:$C$12,MIN(2-$D51+1,5)))</f>
        <v/>
      </c>
      <c r="H51" s="43">
        <f>IF(3&lt;$D51,0,$E51*Assumptions!$C$4*INDEX(Assumptions!$C$8:$C$12,MIN(3-$D51+1,5)))</f>
        <v/>
      </c>
      <c r="I51" s="43">
        <f>IF(4&lt;$D51,0,$E51*Assumptions!$C$4*INDEX(Assumptions!$C$8:$C$12,MIN(4-$D51+1,5)))</f>
        <v/>
      </c>
      <c r="J51" s="43">
        <f>IF(5&lt;$D51,0,$E51*Assumptions!$C$4*INDEX(Assumptions!$C$8:$C$12,MIN(5-$D51+1,5)))</f>
        <v/>
      </c>
    </row>
    <row r="52" ht="15" customHeight="1" s="36">
      <c r="A52" s="63" t="n">
        <v>51</v>
      </c>
      <c r="B52" s="63" t="inlineStr">
        <is>
          <t>Building/property directory listings</t>
        </is>
      </c>
      <c r="C52" s="63" t="inlineStr">
        <is>
          <t>G. Commerce &amp; Discovery</t>
        </is>
      </c>
      <c r="D52" s="64" t="n">
        <v>1</v>
      </c>
      <c r="E52" s="65" t="n">
        <v>15000000</v>
      </c>
      <c r="F52" s="66">
        <f>IF(1&lt;$D52,0,$E52*Assumptions!$C$4*INDEX(Assumptions!$C$8:$C$12,MIN(1-$D52+1,5)))</f>
        <v/>
      </c>
      <c r="G52" s="66">
        <f>IF(2&lt;$D52,0,$E52*Assumptions!$C$4*INDEX(Assumptions!$C$8:$C$12,MIN(2-$D52+1,5)))</f>
        <v/>
      </c>
      <c r="H52" s="66">
        <f>IF(3&lt;$D52,0,$E52*Assumptions!$C$4*INDEX(Assumptions!$C$8:$C$12,MIN(3-$D52+1,5)))</f>
        <v/>
      </c>
      <c r="I52" s="66">
        <f>IF(4&lt;$D52,0,$E52*Assumptions!$C$4*INDEX(Assumptions!$C$8:$C$12,MIN(4-$D52+1,5)))</f>
        <v/>
      </c>
      <c r="J52" s="66">
        <f>IF(5&lt;$D52,0,$E52*Assumptions!$C$4*INDEX(Assumptions!$C$8:$C$12,MIN(5-$D52+1,5)))</f>
        <v/>
      </c>
    </row>
    <row r="53" ht="15" customHeight="1" s="36">
      <c r="A53" s="41" t="n">
        <v>52</v>
      </c>
      <c r="B53" s="41" t="inlineStr">
        <is>
          <t>Meeting room &amp; venue booking</t>
        </is>
      </c>
      <c r="C53" s="41" t="inlineStr">
        <is>
          <t>G. Commerce &amp; Discovery</t>
        </is>
      </c>
      <c r="D53" s="67" t="n">
        <v>1</v>
      </c>
      <c r="E53" s="48" t="n">
        <v>20000000</v>
      </c>
      <c r="F53" s="43">
        <f>IF(1&lt;$D53,0,$E53*Assumptions!$C$4*INDEX(Assumptions!$C$8:$C$12,MIN(1-$D53+1,5)))</f>
        <v/>
      </c>
      <c r="G53" s="43">
        <f>IF(2&lt;$D53,0,$E53*Assumptions!$C$4*INDEX(Assumptions!$C$8:$C$12,MIN(2-$D53+1,5)))</f>
        <v/>
      </c>
      <c r="H53" s="43">
        <f>IF(3&lt;$D53,0,$E53*Assumptions!$C$4*INDEX(Assumptions!$C$8:$C$12,MIN(3-$D53+1,5)))</f>
        <v/>
      </c>
      <c r="I53" s="43">
        <f>IF(4&lt;$D53,0,$E53*Assumptions!$C$4*INDEX(Assumptions!$C$8:$C$12,MIN(4-$D53+1,5)))</f>
        <v/>
      </c>
      <c r="J53" s="43">
        <f>IF(5&lt;$D53,0,$E53*Assumptions!$C$4*INDEX(Assumptions!$C$8:$C$12,MIN(5-$D53+1,5)))</f>
        <v/>
      </c>
    </row>
    <row r="54" ht="15" customHeight="1" s="36">
      <c r="A54" s="63" t="n">
        <v>53</v>
      </c>
      <c r="B54" s="63" t="inlineStr">
        <is>
          <t>National government portal contracts</t>
        </is>
      </c>
      <c r="C54" s="63" t="inlineStr">
        <is>
          <t>G. Commerce &amp; Discovery</t>
        </is>
      </c>
      <c r="D54" s="64" t="n">
        <v>5</v>
      </c>
      <c r="E54" s="65" t="n">
        <v>0</v>
      </c>
      <c r="F54" s="66">
        <f>IF(1&lt;$D54,0,$E54*Assumptions!$C$4*INDEX(Assumptions!$C$8:$C$12,MIN(1-$D54+1,5)))</f>
        <v/>
      </c>
      <c r="G54" s="66">
        <f>IF(2&lt;$D54,0,$E54*Assumptions!$C$4*INDEX(Assumptions!$C$8:$C$12,MIN(2-$D54+1,5)))</f>
        <v/>
      </c>
      <c r="H54" s="66">
        <f>IF(3&lt;$D54,0,$E54*Assumptions!$C$4*INDEX(Assumptions!$C$8:$C$12,MIN(3-$D54+1,5)))</f>
        <v/>
      </c>
      <c r="I54" s="66">
        <f>IF(4&lt;$D54,0,$E54*Assumptions!$C$4*INDEX(Assumptions!$C$8:$C$12,MIN(4-$D54+1,5)))</f>
        <v/>
      </c>
      <c r="J54" s="66">
        <f>IF(5&lt;$D54,0,$E54*Assumptions!$C$4*INDEX(Assumptions!$C$8:$C$12,MIN(5-$D54+1,5)))</f>
        <v/>
      </c>
    </row>
    <row r="55" ht="15" customHeight="1" s="36">
      <c r="A55" s="41" t="n">
        <v>54</v>
      </c>
      <c r="B55" s="41" t="inlineStr">
        <is>
          <t>Cross-border e-commerce logistics</t>
        </is>
      </c>
      <c r="C55" s="41" t="inlineStr">
        <is>
          <t>H. Logistics</t>
        </is>
      </c>
      <c r="D55" s="67" t="n">
        <v>3</v>
      </c>
      <c r="E55" s="48" t="n">
        <v>50000000</v>
      </c>
      <c r="F55" s="43">
        <f>IF(1&lt;$D55,0,$E55*Assumptions!$C$4*INDEX(Assumptions!$C$8:$C$12,MIN(1-$D55+1,5)))</f>
        <v/>
      </c>
      <c r="G55" s="43">
        <f>IF(2&lt;$D55,0,$E55*Assumptions!$C$4*INDEX(Assumptions!$C$8:$C$12,MIN(2-$D55+1,5)))</f>
        <v/>
      </c>
      <c r="H55" s="43">
        <f>IF(3&lt;$D55,0,$E55*Assumptions!$C$4*INDEX(Assumptions!$C$8:$C$12,MIN(3-$D55+1,5)))</f>
        <v/>
      </c>
      <c r="I55" s="43">
        <f>IF(4&lt;$D55,0,$E55*Assumptions!$C$4*INDEX(Assumptions!$C$8:$C$12,MIN(4-$D55+1,5)))</f>
        <v/>
      </c>
      <c r="J55" s="43">
        <f>IF(5&lt;$D55,0,$E55*Assumptions!$C$4*INDEX(Assumptions!$C$8:$C$12,MIN(5-$D55+1,5)))</f>
        <v/>
      </c>
    </row>
    <row r="56" ht="15" customHeight="1" s="36">
      <c r="A56" s="63" t="n">
        <v>55</v>
      </c>
      <c r="B56" s="63" t="inlineStr">
        <is>
          <t>Freight &amp; warehousing-as-a-service</t>
        </is>
      </c>
      <c r="C56" s="63" t="inlineStr">
        <is>
          <t>H. Logistics</t>
        </is>
      </c>
      <c r="D56" s="64" t="n">
        <v>3</v>
      </c>
      <c r="E56" s="65" t="n">
        <v>40000000</v>
      </c>
      <c r="F56" s="66">
        <f>IF(1&lt;$D56,0,$E56*Assumptions!$C$4*INDEX(Assumptions!$C$8:$C$12,MIN(1-$D56+1,5)))</f>
        <v/>
      </c>
      <c r="G56" s="66">
        <f>IF(2&lt;$D56,0,$E56*Assumptions!$C$4*INDEX(Assumptions!$C$8:$C$12,MIN(2-$D56+1,5)))</f>
        <v/>
      </c>
      <c r="H56" s="66">
        <f>IF(3&lt;$D56,0,$E56*Assumptions!$C$4*INDEX(Assumptions!$C$8:$C$12,MIN(3-$D56+1,5)))</f>
        <v/>
      </c>
      <c r="I56" s="66">
        <f>IF(4&lt;$D56,0,$E56*Assumptions!$C$4*INDEX(Assumptions!$C$8:$C$12,MIN(4-$D56+1,5)))</f>
        <v/>
      </c>
      <c r="J56" s="66">
        <f>IF(5&lt;$D56,0,$E56*Assumptions!$C$4*INDEX(Assumptions!$C$8:$C$12,MIN(5-$D56+1,5)))</f>
        <v/>
      </c>
    </row>
    <row r="57" ht="15" customHeight="1" s="36">
      <c r="A57" s="41" t="n">
        <v>56</v>
      </c>
      <c r="B57" s="41" t="inlineStr">
        <is>
          <t>Customs facilitation &amp; documentation</t>
        </is>
      </c>
      <c r="C57" s="41" t="inlineStr">
        <is>
          <t>H. Logistics</t>
        </is>
      </c>
      <c r="D57" s="67" t="n">
        <v>3</v>
      </c>
      <c r="E57" s="48" t="n">
        <v>20000000</v>
      </c>
      <c r="F57" s="43">
        <f>IF(1&lt;$D57,0,$E57*Assumptions!$C$4*INDEX(Assumptions!$C$8:$C$12,MIN(1-$D57+1,5)))</f>
        <v/>
      </c>
      <c r="G57" s="43">
        <f>IF(2&lt;$D57,0,$E57*Assumptions!$C$4*INDEX(Assumptions!$C$8:$C$12,MIN(2-$D57+1,5)))</f>
        <v/>
      </c>
      <c r="H57" s="43">
        <f>IF(3&lt;$D57,0,$E57*Assumptions!$C$4*INDEX(Assumptions!$C$8:$C$12,MIN(3-$D57+1,5)))</f>
        <v/>
      </c>
      <c r="I57" s="43">
        <f>IF(4&lt;$D57,0,$E57*Assumptions!$C$4*INDEX(Assumptions!$C$8:$C$12,MIN(4-$D57+1,5)))</f>
        <v/>
      </c>
      <c r="J57" s="43">
        <f>IF(5&lt;$D57,0,$E57*Assumptions!$C$4*INDEX(Assumptions!$C$8:$C$12,MIN(5-$D57+1,5)))</f>
        <v/>
      </c>
    </row>
    <row r="58" ht="15" customHeight="1" s="36">
      <c r="A58" s="63" t="n">
        <v>57</v>
      </c>
      <c r="B58" s="63" t="inlineStr">
        <is>
          <t>Cold-chain logistics for perishables</t>
        </is>
      </c>
      <c r="C58" s="63" t="inlineStr">
        <is>
          <t>H. Logistics</t>
        </is>
      </c>
      <c r="D58" s="64" t="n">
        <v>3</v>
      </c>
      <c r="E58" s="65" t="n">
        <v>35000000</v>
      </c>
      <c r="F58" s="66">
        <f>IF(1&lt;$D58,0,$E58*Assumptions!$C$4*INDEX(Assumptions!$C$8:$C$12,MIN(1-$D58+1,5)))</f>
        <v/>
      </c>
      <c r="G58" s="66">
        <f>IF(2&lt;$D58,0,$E58*Assumptions!$C$4*INDEX(Assumptions!$C$8:$C$12,MIN(2-$D58+1,5)))</f>
        <v/>
      </c>
      <c r="H58" s="66">
        <f>IF(3&lt;$D58,0,$E58*Assumptions!$C$4*INDEX(Assumptions!$C$8:$C$12,MIN(3-$D58+1,5)))</f>
        <v/>
      </c>
      <c r="I58" s="66">
        <f>IF(4&lt;$D58,0,$E58*Assumptions!$C$4*INDEX(Assumptions!$C$8:$C$12,MIN(4-$D58+1,5)))</f>
        <v/>
      </c>
      <c r="J58" s="66">
        <f>IF(5&lt;$D58,0,$E58*Assumptions!$C$4*INDEX(Assumptions!$C$8:$C$12,MIN(5-$D58+1,5)))</f>
        <v/>
      </c>
    </row>
    <row r="59" ht="15" customHeight="1" s="36">
      <c r="A59" s="41" t="n">
        <v>58</v>
      </c>
      <c r="B59" s="41" t="inlineStr">
        <is>
          <t>Escrow commission (base rate)</t>
        </is>
      </c>
      <c r="C59" s="41" t="inlineStr">
        <is>
          <t>I. Financial Services</t>
        </is>
      </c>
      <c r="D59" s="67" t="n">
        <v>4</v>
      </c>
      <c r="E59" s="48" t="n">
        <v>40000000</v>
      </c>
      <c r="F59" s="43">
        <f>IF(1&lt;$D59,0,$E59*Assumptions!$C$4*INDEX(Assumptions!$C$8:$C$12,MIN(1-$D59+1,5)))</f>
        <v/>
      </c>
      <c r="G59" s="43">
        <f>IF(2&lt;$D59,0,$E59*Assumptions!$C$4*INDEX(Assumptions!$C$8:$C$12,MIN(2-$D59+1,5)))</f>
        <v/>
      </c>
      <c r="H59" s="43">
        <f>IF(3&lt;$D59,0,$E59*Assumptions!$C$4*INDEX(Assumptions!$C$8:$C$12,MIN(3-$D59+1,5)))</f>
        <v/>
      </c>
      <c r="I59" s="43">
        <f>IF(4&lt;$D59,0,$E59*Assumptions!$C$4*INDEX(Assumptions!$C$8:$C$12,MIN(4-$D59+1,5)))</f>
        <v/>
      </c>
      <c r="J59" s="43">
        <f>IF(5&lt;$D59,0,$E59*Assumptions!$C$4*INDEX(Assumptions!$C$8:$C$12,MIN(5-$D59+1,5)))</f>
        <v/>
      </c>
    </row>
    <row r="60" ht="15" customHeight="1" s="36">
      <c r="A60" s="63" t="n">
        <v>59</v>
      </c>
      <c r="B60" s="63" t="inlineStr">
        <is>
          <t>Escrow float / treasury yield</t>
        </is>
      </c>
      <c r="C60" s="63" t="inlineStr">
        <is>
          <t>I. Financial Services</t>
        </is>
      </c>
      <c r="D60" s="64" t="n">
        <v>4</v>
      </c>
      <c r="E60" s="65" t="n">
        <v>20000000</v>
      </c>
      <c r="F60" s="66">
        <f>IF(1&lt;$D60,0,$E60*Assumptions!$C$4*INDEX(Assumptions!$C$8:$C$12,MIN(1-$D60+1,5)))</f>
        <v/>
      </c>
      <c r="G60" s="66">
        <f>IF(2&lt;$D60,0,$E60*Assumptions!$C$4*INDEX(Assumptions!$C$8:$C$12,MIN(2-$D60+1,5)))</f>
        <v/>
      </c>
      <c r="H60" s="66">
        <f>IF(3&lt;$D60,0,$E60*Assumptions!$C$4*INDEX(Assumptions!$C$8:$C$12,MIN(3-$D60+1,5)))</f>
        <v/>
      </c>
      <c r="I60" s="66">
        <f>IF(4&lt;$D60,0,$E60*Assumptions!$C$4*INDEX(Assumptions!$C$8:$C$12,MIN(4-$D60+1,5)))</f>
        <v/>
      </c>
      <c r="J60" s="66">
        <f>IF(5&lt;$D60,0,$E60*Assumptions!$C$4*INDEX(Assumptions!$C$8:$C$12,MIN(5-$D60+1,5)))</f>
        <v/>
      </c>
    </row>
    <row r="61" ht="15" customHeight="1" s="36">
      <c r="A61" s="41" t="n">
        <v>60</v>
      </c>
      <c r="B61" s="41" t="inlineStr">
        <is>
          <t>Credit-Data-as-a-Service</t>
        </is>
      </c>
      <c r="C61" s="41" t="inlineStr">
        <is>
          <t>I. Financial Services</t>
        </is>
      </c>
      <c r="D61" s="67" t="n">
        <v>2</v>
      </c>
      <c r="E61" s="48" t="n">
        <v>30000000</v>
      </c>
      <c r="F61" s="43">
        <f>IF(1&lt;$D61,0,$E61*Assumptions!$C$4*INDEX(Assumptions!$C$8:$C$12,MIN(1-$D61+1,5)))</f>
        <v/>
      </c>
      <c r="G61" s="43">
        <f>IF(2&lt;$D61,0,$E61*Assumptions!$C$4*INDEX(Assumptions!$C$8:$C$12,MIN(2-$D61+1,5)))</f>
        <v/>
      </c>
      <c r="H61" s="43">
        <f>IF(3&lt;$D61,0,$E61*Assumptions!$C$4*INDEX(Assumptions!$C$8:$C$12,MIN(3-$D61+1,5)))</f>
        <v/>
      </c>
      <c r="I61" s="43">
        <f>IF(4&lt;$D61,0,$E61*Assumptions!$C$4*INDEX(Assumptions!$C$8:$C$12,MIN(4-$D61+1,5)))</f>
        <v/>
      </c>
      <c r="J61" s="43">
        <f>IF(5&lt;$D61,0,$E61*Assumptions!$C$4*INDEX(Assumptions!$C$8:$C$12,MIN(5-$D61+1,5)))</f>
        <v/>
      </c>
    </row>
    <row r="62" ht="15" customHeight="1" s="36">
      <c r="A62" s="63" t="n">
        <v>61</v>
      </c>
      <c r="B62" s="63" t="inlineStr">
        <is>
          <t>Loan referral marketplace</t>
        </is>
      </c>
      <c r="C62" s="63" t="inlineStr">
        <is>
          <t>I. Financial Services</t>
        </is>
      </c>
      <c r="D62" s="64" t="n">
        <v>4</v>
      </c>
      <c r="E62" s="65" t="n">
        <v>25000000</v>
      </c>
      <c r="F62" s="66">
        <f>IF(1&lt;$D62,0,$E62*Assumptions!$C$4*INDEX(Assumptions!$C$8:$C$12,MIN(1-$D62+1,5)))</f>
        <v/>
      </c>
      <c r="G62" s="66">
        <f>IF(2&lt;$D62,0,$E62*Assumptions!$C$4*INDEX(Assumptions!$C$8:$C$12,MIN(2-$D62+1,5)))</f>
        <v/>
      </c>
      <c r="H62" s="66">
        <f>IF(3&lt;$D62,0,$E62*Assumptions!$C$4*INDEX(Assumptions!$C$8:$C$12,MIN(3-$D62+1,5)))</f>
        <v/>
      </c>
      <c r="I62" s="66">
        <f>IF(4&lt;$D62,0,$E62*Assumptions!$C$4*INDEX(Assumptions!$C$8:$C$12,MIN(4-$D62+1,5)))</f>
        <v/>
      </c>
      <c r="J62" s="66">
        <f>IF(5&lt;$D62,0,$E62*Assumptions!$C$4*INDEX(Assumptions!$C$8:$C$12,MIN(5-$D62+1,5)))</f>
        <v/>
      </c>
    </row>
    <row r="63" ht="15" customHeight="1" s="36">
      <c r="A63" s="41" t="n">
        <v>62</v>
      </c>
      <c r="B63" s="41" t="inlineStr">
        <is>
          <t>Direct lending (licence-gated)</t>
        </is>
      </c>
      <c r="C63" s="41" t="inlineStr">
        <is>
          <t>I. Financial Services</t>
        </is>
      </c>
      <c r="D63" s="67" t="n">
        <v>5</v>
      </c>
      <c r="E63" s="48" t="n">
        <v>60000000</v>
      </c>
      <c r="F63" s="43">
        <f>IF(1&lt;$D63,0,$E63*Assumptions!$C$4*INDEX(Assumptions!$C$8:$C$12,MIN(1-$D63+1,5)))</f>
        <v/>
      </c>
      <c r="G63" s="43">
        <f>IF(2&lt;$D63,0,$E63*Assumptions!$C$4*INDEX(Assumptions!$C$8:$C$12,MIN(2-$D63+1,5)))</f>
        <v/>
      </c>
      <c r="H63" s="43">
        <f>IF(3&lt;$D63,0,$E63*Assumptions!$C$4*INDEX(Assumptions!$C$8:$C$12,MIN(3-$D63+1,5)))</f>
        <v/>
      </c>
      <c r="I63" s="43">
        <f>IF(4&lt;$D63,0,$E63*Assumptions!$C$4*INDEX(Assumptions!$C$8:$C$12,MIN(4-$D63+1,5)))</f>
        <v/>
      </c>
      <c r="J63" s="43">
        <f>IF(5&lt;$D63,0,$E63*Assumptions!$C$4*INDEX(Assumptions!$C$8:$C$12,MIN(5-$D63+1,5)))</f>
        <v/>
      </c>
    </row>
    <row r="64" ht="15" customHeight="1" s="36">
      <c r="A64" s="63" t="n">
        <v>63</v>
      </c>
      <c r="B64" s="63" t="inlineStr">
        <is>
          <t>Input financing</t>
        </is>
      </c>
      <c r="C64" s="63" t="inlineStr">
        <is>
          <t>I. Financial Services</t>
        </is>
      </c>
      <c r="D64" s="64" t="n">
        <v>4</v>
      </c>
      <c r="E64" s="65" t="n">
        <v>35000000</v>
      </c>
      <c r="F64" s="66">
        <f>IF(1&lt;$D64,0,$E64*Assumptions!$C$4*INDEX(Assumptions!$C$8:$C$12,MIN(1-$D64+1,5)))</f>
        <v/>
      </c>
      <c r="G64" s="66">
        <f>IF(2&lt;$D64,0,$E64*Assumptions!$C$4*INDEX(Assumptions!$C$8:$C$12,MIN(2-$D64+1,5)))</f>
        <v/>
      </c>
      <c r="H64" s="66">
        <f>IF(3&lt;$D64,0,$E64*Assumptions!$C$4*INDEX(Assumptions!$C$8:$C$12,MIN(3-$D64+1,5)))</f>
        <v/>
      </c>
      <c r="I64" s="66">
        <f>IF(4&lt;$D64,0,$E64*Assumptions!$C$4*INDEX(Assumptions!$C$8:$C$12,MIN(4-$D64+1,5)))</f>
        <v/>
      </c>
      <c r="J64" s="66">
        <f>IF(5&lt;$D64,0,$E64*Assumptions!$C$4*INDEX(Assumptions!$C$8:$C$12,MIN(5-$D64+1,5)))</f>
        <v/>
      </c>
    </row>
    <row r="65" ht="15" customHeight="1" s="36">
      <c r="A65" s="41" t="n">
        <v>64</v>
      </c>
      <c r="B65" s="41" t="inlineStr">
        <is>
          <t>KYB-as-a-service / verification API</t>
        </is>
      </c>
      <c r="C65" s="41" t="inlineStr">
        <is>
          <t>I. Financial Services</t>
        </is>
      </c>
      <c r="D65" s="67" t="n">
        <v>2</v>
      </c>
      <c r="E65" s="48" t="n">
        <v>20000000</v>
      </c>
      <c r="F65" s="43">
        <f>IF(1&lt;$D65,0,$E65*Assumptions!$C$4*INDEX(Assumptions!$C$8:$C$12,MIN(1-$D65+1,5)))</f>
        <v/>
      </c>
      <c r="G65" s="43">
        <f>IF(2&lt;$D65,0,$E65*Assumptions!$C$4*INDEX(Assumptions!$C$8:$C$12,MIN(2-$D65+1,5)))</f>
        <v/>
      </c>
      <c r="H65" s="43">
        <f>IF(3&lt;$D65,0,$E65*Assumptions!$C$4*INDEX(Assumptions!$C$8:$C$12,MIN(3-$D65+1,5)))</f>
        <v/>
      </c>
      <c r="I65" s="43">
        <f>IF(4&lt;$D65,0,$E65*Assumptions!$C$4*INDEX(Assumptions!$C$8:$C$12,MIN(4-$D65+1,5)))</f>
        <v/>
      </c>
      <c r="J65" s="43">
        <f>IF(5&lt;$D65,0,$E65*Assumptions!$C$4*INDEX(Assumptions!$C$8:$C$12,MIN(5-$D65+1,5)))</f>
        <v/>
      </c>
    </row>
    <row r="66" ht="15" customHeight="1" s="36">
      <c r="A66" s="63" t="n">
        <v>65</v>
      </c>
      <c r="B66" s="63" t="inlineStr">
        <is>
          <t>County government subscriptions</t>
        </is>
      </c>
      <c r="C66" s="63" t="inlineStr">
        <is>
          <t>J. Government</t>
        </is>
      </c>
      <c r="D66" s="64" t="n">
        <v>1</v>
      </c>
      <c r="E66" s="65" t="n">
        <v>15000000</v>
      </c>
      <c r="F66" s="66">
        <f>IF(1&lt;$D66,0,$E66*Assumptions!$C$4*INDEX(Assumptions!$C$8:$C$12,MIN(1-$D66+1,5)))</f>
        <v/>
      </c>
      <c r="G66" s="66">
        <f>IF(2&lt;$D66,0,$E66*Assumptions!$C$4*INDEX(Assumptions!$C$8:$C$12,MIN(2-$D66+1,5)))</f>
        <v/>
      </c>
      <c r="H66" s="66">
        <f>IF(3&lt;$D66,0,$E66*Assumptions!$C$4*INDEX(Assumptions!$C$8:$C$12,MIN(3-$D66+1,5)))</f>
        <v/>
      </c>
      <c r="I66" s="66">
        <f>IF(4&lt;$D66,0,$E66*Assumptions!$C$4*INDEX(Assumptions!$C$8:$C$12,MIN(4-$D66+1,5)))</f>
        <v/>
      </c>
      <c r="J66" s="66">
        <f>IF(5&lt;$D66,0,$E66*Assumptions!$C$4*INDEX(Assumptions!$C$8:$C$12,MIN(5-$D66+1,5)))</f>
        <v/>
      </c>
    </row>
    <row r="67" ht="15" customHeight="1" s="36">
      <c r="A67" s="41" t="n">
        <v>66</v>
      </c>
      <c r="B67" s="41" t="inlineStr">
        <is>
          <t>County own-source revenue collection</t>
        </is>
      </c>
      <c r="C67" s="41" t="inlineStr">
        <is>
          <t>J. Government</t>
        </is>
      </c>
      <c r="D67" s="67" t="n">
        <v>2</v>
      </c>
      <c r="E67" s="48" t="n">
        <v>40000000</v>
      </c>
      <c r="F67" s="43">
        <f>IF(1&lt;$D67,0,$E67*Assumptions!$C$4*INDEX(Assumptions!$C$8:$C$12,MIN(1-$D67+1,5)))</f>
        <v/>
      </c>
      <c r="G67" s="43">
        <f>IF(2&lt;$D67,0,$E67*Assumptions!$C$4*INDEX(Assumptions!$C$8:$C$12,MIN(2-$D67+1,5)))</f>
        <v/>
      </c>
      <c r="H67" s="43">
        <f>IF(3&lt;$D67,0,$E67*Assumptions!$C$4*INDEX(Assumptions!$C$8:$C$12,MIN(3-$D67+1,5)))</f>
        <v/>
      </c>
      <c r="I67" s="43">
        <f>IF(4&lt;$D67,0,$E67*Assumptions!$C$4*INDEX(Assumptions!$C$8:$C$12,MIN(4-$D67+1,5)))</f>
        <v/>
      </c>
      <c r="J67" s="43">
        <f>IF(5&lt;$D67,0,$E67*Assumptions!$C$4*INDEX(Assumptions!$C$8:$C$12,MIN(5-$D67+1,5)))</f>
        <v/>
      </c>
    </row>
    <row r="68" ht="15" customHeight="1" s="36">
      <c r="A68" s="63" t="n">
        <v>67</v>
      </c>
      <c r="B68" s="63" t="inlineStr">
        <is>
          <t>Procurement rail facilitation</t>
        </is>
      </c>
      <c r="C68" s="63" t="inlineStr">
        <is>
          <t>J. Government</t>
        </is>
      </c>
      <c r="D68" s="64" t="n">
        <v>2</v>
      </c>
      <c r="E68" s="65" t="n">
        <v>30000000</v>
      </c>
      <c r="F68" s="66">
        <f>IF(1&lt;$D68,0,$E68*Assumptions!$C$4*INDEX(Assumptions!$C$8:$C$12,MIN(1-$D68+1,5)))</f>
        <v/>
      </c>
      <c r="G68" s="66">
        <f>IF(2&lt;$D68,0,$E68*Assumptions!$C$4*INDEX(Assumptions!$C$8:$C$12,MIN(2-$D68+1,5)))</f>
        <v/>
      </c>
      <c r="H68" s="66">
        <f>IF(3&lt;$D68,0,$E68*Assumptions!$C$4*INDEX(Assumptions!$C$8:$C$12,MIN(3-$D68+1,5)))</f>
        <v/>
      </c>
      <c r="I68" s="66">
        <f>IF(4&lt;$D68,0,$E68*Assumptions!$C$4*INDEX(Assumptions!$C$8:$C$12,MIN(4-$D68+1,5)))</f>
        <v/>
      </c>
      <c r="J68" s="66">
        <f>IF(5&lt;$D68,0,$E68*Assumptions!$C$4*INDEX(Assumptions!$C$8:$C$12,MIN(5-$D68+1,5)))</f>
        <v/>
      </c>
    </row>
    <row r="69" ht="15" customHeight="1" s="36">
      <c r="A69" s="41" t="n">
        <v>68</v>
      </c>
      <c r="B69" s="41" t="inlineStr">
        <is>
          <t>Education &amp; skills certification</t>
        </is>
      </c>
      <c r="C69" s="41" t="inlineStr">
        <is>
          <t>K. Additional Sectors</t>
        </is>
      </c>
      <c r="D69" s="67" t="n">
        <v>3</v>
      </c>
      <c r="E69" s="48" t="n">
        <v>20000000</v>
      </c>
      <c r="F69" s="43">
        <f>IF(1&lt;$D69,0,$E69*Assumptions!$C$4*INDEX(Assumptions!$C$8:$C$12,MIN(1-$D69+1,5)))</f>
        <v/>
      </c>
      <c r="G69" s="43">
        <f>IF(2&lt;$D69,0,$E69*Assumptions!$C$4*INDEX(Assumptions!$C$8:$C$12,MIN(2-$D69+1,5)))</f>
        <v/>
      </c>
      <c r="H69" s="43">
        <f>IF(3&lt;$D69,0,$E69*Assumptions!$C$4*INDEX(Assumptions!$C$8:$C$12,MIN(3-$D69+1,5)))</f>
        <v/>
      </c>
      <c r="I69" s="43">
        <f>IF(4&lt;$D69,0,$E69*Assumptions!$C$4*INDEX(Assumptions!$C$8:$C$12,MIN(4-$D69+1,5)))</f>
        <v/>
      </c>
      <c r="J69" s="43">
        <f>IF(5&lt;$D69,0,$E69*Assumptions!$C$4*INDEX(Assumptions!$C$8:$C$12,MIN(5-$D69+1,5)))</f>
        <v/>
      </c>
    </row>
    <row r="70" ht="15" customHeight="1" s="36">
      <c r="A70" s="63" t="n">
        <v>69</v>
      </c>
      <c r="B70" s="63" t="inlineStr">
        <is>
          <t>Healthtech directory &amp; booking</t>
        </is>
      </c>
      <c r="C70" s="63" t="inlineStr">
        <is>
          <t>K. Additional Sectors</t>
        </is>
      </c>
      <c r="D70" s="64" t="n">
        <v>3</v>
      </c>
      <c r="E70" s="65" t="n">
        <v>15000000</v>
      </c>
      <c r="F70" s="66">
        <f>IF(1&lt;$D70,0,$E70*Assumptions!$C$4*INDEX(Assumptions!$C$8:$C$12,MIN(1-$D70+1,5)))</f>
        <v/>
      </c>
      <c r="G70" s="66">
        <f>IF(2&lt;$D70,0,$E70*Assumptions!$C$4*INDEX(Assumptions!$C$8:$C$12,MIN(2-$D70+1,5)))</f>
        <v/>
      </c>
      <c r="H70" s="66">
        <f>IF(3&lt;$D70,0,$E70*Assumptions!$C$4*INDEX(Assumptions!$C$8:$C$12,MIN(3-$D70+1,5)))</f>
        <v/>
      </c>
      <c r="I70" s="66">
        <f>IF(4&lt;$D70,0,$E70*Assumptions!$C$4*INDEX(Assumptions!$C$8:$C$12,MIN(4-$D70+1,5)))</f>
        <v/>
      </c>
      <c r="J70" s="66">
        <f>IF(5&lt;$D70,0,$E70*Assumptions!$C$4*INDEX(Assumptions!$C$8:$C$12,MIN(5-$D70+1,5)))</f>
        <v/>
      </c>
    </row>
    <row r="71" ht="15" customHeight="1" s="36">
      <c r="A71" s="41" t="n">
        <v>70</v>
      </c>
      <c r="B71" s="41" t="inlineStr">
        <is>
          <t>Telemedicine referral</t>
        </is>
      </c>
      <c r="C71" s="41" t="inlineStr">
        <is>
          <t>K. Additional Sectors</t>
        </is>
      </c>
      <c r="D71" s="67" t="n">
        <v>4</v>
      </c>
      <c r="E71" s="48" t="n">
        <v>10000000</v>
      </c>
      <c r="F71" s="43">
        <f>IF(1&lt;$D71,0,$E71*Assumptions!$C$4*INDEX(Assumptions!$C$8:$C$12,MIN(1-$D71+1,5)))</f>
        <v/>
      </c>
      <c r="G71" s="43">
        <f>IF(2&lt;$D71,0,$E71*Assumptions!$C$4*INDEX(Assumptions!$C$8:$C$12,MIN(2-$D71+1,5)))</f>
        <v/>
      </c>
      <c r="H71" s="43">
        <f>IF(3&lt;$D71,0,$E71*Assumptions!$C$4*INDEX(Assumptions!$C$8:$C$12,MIN(3-$D71+1,5)))</f>
        <v/>
      </c>
      <c r="I71" s="43">
        <f>IF(4&lt;$D71,0,$E71*Assumptions!$C$4*INDEX(Assumptions!$C$8:$C$12,MIN(4-$D71+1,5)))</f>
        <v/>
      </c>
      <c r="J71" s="43">
        <f>IF(5&lt;$D71,0,$E71*Assumptions!$C$4*INDEX(Assumptions!$C$8:$C$12,MIN(5-$D71+1,5)))</f>
        <v/>
      </c>
    </row>
    <row r="72" ht="15" customHeight="1" s="36">
      <c r="A72" s="63" t="n">
        <v>71</v>
      </c>
      <c r="B72" s="63" t="inlineStr">
        <is>
          <t>Creative industries ticketing/rights</t>
        </is>
      </c>
      <c r="C72" s="63" t="inlineStr">
        <is>
          <t>K. Additional Sectors</t>
        </is>
      </c>
      <c r="D72" s="64" t="n">
        <v>4</v>
      </c>
      <c r="E72" s="65" t="n">
        <v>20000000</v>
      </c>
      <c r="F72" s="66">
        <f>IF(1&lt;$D72,0,$E72*Assumptions!$C$4*INDEX(Assumptions!$C$8:$C$12,MIN(1-$D72+1,5)))</f>
        <v/>
      </c>
      <c r="G72" s="66">
        <f>IF(2&lt;$D72,0,$E72*Assumptions!$C$4*INDEX(Assumptions!$C$8:$C$12,MIN(2-$D72+1,5)))</f>
        <v/>
      </c>
      <c r="H72" s="66">
        <f>IF(3&lt;$D72,0,$E72*Assumptions!$C$4*INDEX(Assumptions!$C$8:$C$12,MIN(3-$D72+1,5)))</f>
        <v/>
      </c>
      <c r="I72" s="66">
        <f>IF(4&lt;$D72,0,$E72*Assumptions!$C$4*INDEX(Assumptions!$C$8:$C$12,MIN(4-$D72+1,5)))</f>
        <v/>
      </c>
      <c r="J72" s="66">
        <f>IF(5&lt;$D72,0,$E72*Assumptions!$C$4*INDEX(Assumptions!$C$8:$C$12,MIN(5-$D72+1,5)))</f>
        <v/>
      </c>
    </row>
    <row r="73" ht="15" customHeight="1" s="36">
      <c r="A73" s="41" t="n">
        <v>72</v>
      </c>
      <c r="B73" s="41" t="inlineStr">
        <is>
          <t>Sports facility booking &amp; tourism</t>
        </is>
      </c>
      <c r="C73" s="41" t="inlineStr">
        <is>
          <t>K. Additional Sectors</t>
        </is>
      </c>
      <c r="D73" s="67" t="n">
        <v>4</v>
      </c>
      <c r="E73" s="48" t="n">
        <v>15000000</v>
      </c>
      <c r="F73" s="43">
        <f>IF(1&lt;$D73,0,$E73*Assumptions!$C$4*INDEX(Assumptions!$C$8:$C$12,MIN(1-$D73+1,5)))</f>
        <v/>
      </c>
      <c r="G73" s="43">
        <f>IF(2&lt;$D73,0,$E73*Assumptions!$C$4*INDEX(Assumptions!$C$8:$C$12,MIN(2-$D73+1,5)))</f>
        <v/>
      </c>
      <c r="H73" s="43">
        <f>IF(3&lt;$D73,0,$E73*Assumptions!$C$4*INDEX(Assumptions!$C$8:$C$12,MIN(3-$D73+1,5)))</f>
        <v/>
      </c>
      <c r="I73" s="43">
        <f>IF(4&lt;$D73,0,$E73*Assumptions!$C$4*INDEX(Assumptions!$C$8:$C$12,MIN(4-$D73+1,5)))</f>
        <v/>
      </c>
      <c r="J73" s="43">
        <f>IF(5&lt;$D73,0,$E73*Assumptions!$C$4*INDEX(Assumptions!$C$8:$C$12,MIN(5-$D73+1,5)))</f>
        <v/>
      </c>
    </row>
    <row r="74" ht="15" customHeight="1" s="36">
      <c r="A74" s="63" t="n">
        <v>73</v>
      </c>
      <c r="B74" s="63" t="inlineStr">
        <is>
          <t>ICT &amp; BPO facilitation</t>
        </is>
      </c>
      <c r="C74" s="63" t="inlineStr">
        <is>
          <t>K. Additional Sectors</t>
        </is>
      </c>
      <c r="D74" s="64" t="n">
        <v>4</v>
      </c>
      <c r="E74" s="65" t="n">
        <v>25000000</v>
      </c>
      <c r="F74" s="66">
        <f>IF(1&lt;$D74,0,$E74*Assumptions!$C$4*INDEX(Assumptions!$C$8:$C$12,MIN(1-$D74+1,5)))</f>
        <v/>
      </c>
      <c r="G74" s="66">
        <f>IF(2&lt;$D74,0,$E74*Assumptions!$C$4*INDEX(Assumptions!$C$8:$C$12,MIN(2-$D74+1,5)))</f>
        <v/>
      </c>
      <c r="H74" s="66">
        <f>IF(3&lt;$D74,0,$E74*Assumptions!$C$4*INDEX(Assumptions!$C$8:$C$12,MIN(3-$D74+1,5)))</f>
        <v/>
      </c>
      <c r="I74" s="66">
        <f>IF(4&lt;$D74,0,$E74*Assumptions!$C$4*INDEX(Assumptions!$C$8:$C$12,MIN(4-$D74+1,5)))</f>
        <v/>
      </c>
      <c r="J74" s="66">
        <f>IF(5&lt;$D74,0,$E74*Assumptions!$C$4*INDEX(Assumptions!$C$8:$C$12,MIN(5-$D74+1,5)))</f>
        <v/>
      </c>
    </row>
    <row r="75" ht="15" customHeight="1" s="36">
      <c r="A75" s="41" t="n">
        <v>74</v>
      </c>
      <c r="B75" s="41" t="inlineStr">
        <is>
          <t>Waste management &amp; recycling</t>
        </is>
      </c>
      <c r="C75" s="41" t="inlineStr">
        <is>
          <t>K. Additional Sectors</t>
        </is>
      </c>
      <c r="D75" s="67" t="n">
        <v>3</v>
      </c>
      <c r="E75" s="48" t="n">
        <v>15000000</v>
      </c>
      <c r="F75" s="43">
        <f>IF(1&lt;$D75,0,$E75*Assumptions!$C$4*INDEX(Assumptions!$C$8:$C$12,MIN(1-$D75+1,5)))</f>
        <v/>
      </c>
      <c r="G75" s="43">
        <f>IF(2&lt;$D75,0,$E75*Assumptions!$C$4*INDEX(Assumptions!$C$8:$C$12,MIN(2-$D75+1,5)))</f>
        <v/>
      </c>
      <c r="H75" s="43">
        <f>IF(3&lt;$D75,0,$E75*Assumptions!$C$4*INDEX(Assumptions!$C$8:$C$12,MIN(3-$D75+1,5)))</f>
        <v/>
      </c>
      <c r="I75" s="43">
        <f>IF(4&lt;$D75,0,$E75*Assumptions!$C$4*INDEX(Assumptions!$C$8:$C$12,MIN(4-$D75+1,5)))</f>
        <v/>
      </c>
      <c r="J75" s="43">
        <f>IF(5&lt;$D75,0,$E75*Assumptions!$C$4*INDEX(Assumptions!$C$8:$C$12,MIN(5-$D75+1,5)))</f>
        <v/>
      </c>
    </row>
    <row r="76" ht="15" customHeight="1" s="36">
      <c r="A76" s="63" t="n">
        <v>75</v>
      </c>
      <c r="B76" s="63" t="inlineStr">
        <is>
          <t>Professional services marketplace</t>
        </is>
      </c>
      <c r="C76" s="63" t="inlineStr">
        <is>
          <t>K. Additional Sectors</t>
        </is>
      </c>
      <c r="D76" s="64" t="n">
        <v>3</v>
      </c>
      <c r="E76" s="65" t="n">
        <v>20000000</v>
      </c>
      <c r="F76" s="66">
        <f>IF(1&lt;$D76,0,$E76*Assumptions!$C$4*INDEX(Assumptions!$C$8:$C$12,MIN(1-$D76+1,5)))</f>
        <v/>
      </c>
      <c r="G76" s="66">
        <f>IF(2&lt;$D76,0,$E76*Assumptions!$C$4*INDEX(Assumptions!$C$8:$C$12,MIN(2-$D76+1,5)))</f>
        <v/>
      </c>
      <c r="H76" s="66">
        <f>IF(3&lt;$D76,0,$E76*Assumptions!$C$4*INDEX(Assumptions!$C$8:$C$12,MIN(3-$D76+1,5)))</f>
        <v/>
      </c>
      <c r="I76" s="66">
        <f>IF(4&lt;$D76,0,$E76*Assumptions!$C$4*INDEX(Assumptions!$C$8:$C$12,MIN(4-$D76+1,5)))</f>
        <v/>
      </c>
      <c r="J76" s="66">
        <f>IF(5&lt;$D76,0,$E76*Assumptions!$C$4*INDEX(Assumptions!$C$8:$C$12,MIN(5-$D76+1,5)))</f>
        <v/>
      </c>
    </row>
    <row r="77" ht="15" customHeight="1" s="36">
      <c r="A77" s="41" t="n">
        <v>76</v>
      </c>
      <c r="B77" s="41" t="inlineStr">
        <is>
          <t>Universal rental &amp; lease placement</t>
        </is>
      </c>
      <c r="C77" s="41" t="inlineStr">
        <is>
          <t>L. RE Rental Expansion</t>
        </is>
      </c>
      <c r="D77" s="67" t="n">
        <v>2</v>
      </c>
      <c r="E77" s="48" t="n">
        <v>120000000</v>
      </c>
      <c r="F77" s="43">
        <f>IF(1&lt;$D77,0,$E77*Assumptions!$C$4*INDEX(Assumptions!$C$8:$C$12,MIN(1-$D77+1,5)))</f>
        <v/>
      </c>
      <c r="G77" s="43">
        <f>IF(2&lt;$D77,0,$E77*Assumptions!$C$4*INDEX(Assumptions!$C$8:$C$12,MIN(2-$D77+1,5)))</f>
        <v/>
      </c>
      <c r="H77" s="43">
        <f>IF(3&lt;$D77,0,$E77*Assumptions!$C$4*INDEX(Assumptions!$C$8:$C$12,MIN(3-$D77+1,5)))</f>
        <v/>
      </c>
      <c r="I77" s="43">
        <f>IF(4&lt;$D77,0,$E77*Assumptions!$C$4*INDEX(Assumptions!$C$8:$C$12,MIN(4-$D77+1,5)))</f>
        <v/>
      </c>
      <c r="J77" s="43">
        <f>IF(5&lt;$D77,0,$E77*Assumptions!$C$4*INDEX(Assumptions!$C$8:$C$12,MIN(5-$D77+1,5)))</f>
        <v/>
      </c>
    </row>
    <row r="78" ht="15" customHeight="1" s="36">
      <c r="A78" s="63" t="n">
        <v>77</v>
      </c>
      <c r="B78" s="63" t="inlineStr">
        <is>
          <t>Airbnb/short-let + experience cross-sell</t>
        </is>
      </c>
      <c r="C78" s="63" t="inlineStr">
        <is>
          <t>L. RE Rental Expansion</t>
        </is>
      </c>
      <c r="D78" s="64" t="n">
        <v>2</v>
      </c>
      <c r="E78" s="65" t="n">
        <v>70000000</v>
      </c>
      <c r="F78" s="66">
        <f>IF(1&lt;$D78,0,$E78*Assumptions!$C$4*INDEX(Assumptions!$C$8:$C$12,MIN(1-$D78+1,5)))</f>
        <v/>
      </c>
      <c r="G78" s="66">
        <f>IF(2&lt;$D78,0,$E78*Assumptions!$C$4*INDEX(Assumptions!$C$8:$C$12,MIN(2-$D78+1,5)))</f>
        <v/>
      </c>
      <c r="H78" s="66">
        <f>IF(3&lt;$D78,0,$E78*Assumptions!$C$4*INDEX(Assumptions!$C$8:$C$12,MIN(3-$D78+1,5)))</f>
        <v/>
      </c>
      <c r="I78" s="66">
        <f>IF(4&lt;$D78,0,$E78*Assumptions!$C$4*INDEX(Assumptions!$C$8:$C$12,MIN(4-$D78+1,5)))</f>
        <v/>
      </c>
      <c r="J78" s="66">
        <f>IF(5&lt;$D78,0,$E78*Assumptions!$C$4*INDEX(Assumptions!$C$8:$C$12,MIN(5-$D78+1,5)))</f>
        <v/>
      </c>
    </row>
    <row r="79" ht="15" customHeight="1" s="36">
      <c r="A79" s="41" t="n">
        <v>78</v>
      </c>
      <c r="B79" s="41" t="inlineStr">
        <is>
          <t>Villas &amp; mansionettes premium rental</t>
        </is>
      </c>
      <c r="C79" s="41" t="inlineStr">
        <is>
          <t>L. RE Rental Expansion</t>
        </is>
      </c>
      <c r="D79" s="67" t="n">
        <v>2</v>
      </c>
      <c r="E79" s="48" t="n">
        <v>40000000</v>
      </c>
      <c r="F79" s="43">
        <f>IF(1&lt;$D79,0,$E79*Assumptions!$C$4*INDEX(Assumptions!$C$8:$C$12,MIN(1-$D79+1,5)))</f>
        <v/>
      </c>
      <c r="G79" s="43">
        <f>IF(2&lt;$D79,0,$E79*Assumptions!$C$4*INDEX(Assumptions!$C$8:$C$12,MIN(2-$D79+1,5)))</f>
        <v/>
      </c>
      <c r="H79" s="43">
        <f>IF(3&lt;$D79,0,$E79*Assumptions!$C$4*INDEX(Assumptions!$C$8:$C$12,MIN(3-$D79+1,5)))</f>
        <v/>
      </c>
      <c r="I79" s="43">
        <f>IF(4&lt;$D79,0,$E79*Assumptions!$C$4*INDEX(Assumptions!$C$8:$C$12,MIN(4-$D79+1,5)))</f>
        <v/>
      </c>
      <c r="J79" s="43">
        <f>IF(5&lt;$D79,0,$E79*Assumptions!$C$4*INDEX(Assumptions!$C$8:$C$12,MIN(5-$D79+1,5)))</f>
        <v/>
      </c>
    </row>
    <row r="80" ht="15" customHeight="1" s="36">
      <c r="A80" s="63" t="n">
        <v>79</v>
      </c>
      <c r="B80" s="63" t="inlineStr">
        <is>
          <t>Universal multi-agency rating engine</t>
        </is>
      </c>
      <c r="C80" s="63" t="inlineStr">
        <is>
          <t>L. RE Rental Expansion</t>
        </is>
      </c>
      <c r="D80" s="64" t="n">
        <v>5</v>
      </c>
      <c r="E80" s="65" t="n">
        <v>0</v>
      </c>
      <c r="F80" s="66">
        <f>IF(1&lt;$D80,0,$E80*Assumptions!$C$4*INDEX(Assumptions!$C$8:$C$12,MIN(1-$D80+1,5)))</f>
        <v/>
      </c>
      <c r="G80" s="66">
        <f>IF(2&lt;$D80,0,$E80*Assumptions!$C$4*INDEX(Assumptions!$C$8:$C$12,MIN(2-$D80+1,5)))</f>
        <v/>
      </c>
      <c r="H80" s="66">
        <f>IF(3&lt;$D80,0,$E80*Assumptions!$C$4*INDEX(Assumptions!$C$8:$C$12,MIN(3-$D80+1,5)))</f>
        <v/>
      </c>
      <c r="I80" s="66">
        <f>IF(4&lt;$D80,0,$E80*Assumptions!$C$4*INDEX(Assumptions!$C$8:$C$12,MIN(4-$D80+1,5)))</f>
        <v/>
      </c>
      <c r="J80" s="66">
        <f>IF(5&lt;$D80,0,$E80*Assumptions!$C$4*INDEX(Assumptions!$C$8:$C$12,MIN(5-$D80+1,5)))</f>
        <v/>
      </c>
    </row>
    <row r="81" ht="15" customHeight="1" s="36">
      <c r="A81" s="41" t="n">
        <v>80</v>
      </c>
      <c r="B81" s="41" t="inlineStr">
        <is>
          <t>Commercial space connection facilitation</t>
        </is>
      </c>
      <c r="C81" s="41" t="inlineStr">
        <is>
          <t>L. RE Rental Expansion</t>
        </is>
      </c>
      <c r="D81" s="67" t="n">
        <v>2</v>
      </c>
      <c r="E81" s="48" t="n">
        <v>50000000</v>
      </c>
      <c r="F81" s="43">
        <f>IF(1&lt;$D81,0,$E81*Assumptions!$C$4*INDEX(Assumptions!$C$8:$C$12,MIN(1-$D81+1,5)))</f>
        <v/>
      </c>
      <c r="G81" s="43">
        <f>IF(2&lt;$D81,0,$E81*Assumptions!$C$4*INDEX(Assumptions!$C$8:$C$12,MIN(2-$D81+1,5)))</f>
        <v/>
      </c>
      <c r="H81" s="43">
        <f>IF(3&lt;$D81,0,$E81*Assumptions!$C$4*INDEX(Assumptions!$C$8:$C$12,MIN(3-$D81+1,5)))</f>
        <v/>
      </c>
      <c r="I81" s="43">
        <f>IF(4&lt;$D81,0,$E81*Assumptions!$C$4*INDEX(Assumptions!$C$8:$C$12,MIN(4-$D81+1,5)))</f>
        <v/>
      </c>
      <c r="J81" s="43">
        <f>IF(5&lt;$D81,0,$E81*Assumptions!$C$4*INDEX(Assumptions!$C$8:$C$12,MIN(5-$D81+1,5)))</f>
        <v/>
      </c>
    </row>
    <row r="82" ht="15" customHeight="1" s="36">
      <c r="A82" s="63" t="n">
        <v>81</v>
      </c>
      <c r="B82" s="63" t="inlineStr">
        <is>
          <t>Hotel-partner bundled conference/leisure</t>
        </is>
      </c>
      <c r="C82" s="63" t="inlineStr">
        <is>
          <t>M. Flagship &amp; Investment</t>
        </is>
      </c>
      <c r="D82" s="64" t="n">
        <v>4</v>
      </c>
      <c r="E82" s="65" t="n">
        <v>30000000</v>
      </c>
      <c r="F82" s="66">
        <f>IF(1&lt;$D82,0,$E82*Assumptions!$C$4*INDEX(Assumptions!$C$8:$C$12,MIN(1-$D82+1,5)))</f>
        <v/>
      </c>
      <c r="G82" s="66">
        <f>IF(2&lt;$D82,0,$E82*Assumptions!$C$4*INDEX(Assumptions!$C$8:$C$12,MIN(2-$D82+1,5)))</f>
        <v/>
      </c>
      <c r="H82" s="66">
        <f>IF(3&lt;$D82,0,$E82*Assumptions!$C$4*INDEX(Assumptions!$C$8:$C$12,MIN(3-$D82+1,5)))</f>
        <v/>
      </c>
      <c r="I82" s="66">
        <f>IF(4&lt;$D82,0,$E82*Assumptions!$C$4*INDEX(Assumptions!$C$8:$C$12,MIN(4-$D82+1,5)))</f>
        <v/>
      </c>
      <c r="J82" s="66">
        <f>IF(5&lt;$D82,0,$E82*Assumptions!$C$4*INDEX(Assumptions!$C$8:$C$12,MIN(5-$D82+1,5)))</f>
        <v/>
      </c>
    </row>
    <row r="83" ht="15" customHeight="1" s="36">
      <c r="A83" s="41" t="n">
        <v>82</v>
      </c>
      <c r="B83" s="41" t="inlineStr">
        <is>
          <t>Airline &amp; travel-partner MOU network</t>
        </is>
      </c>
      <c r="C83" s="41" t="inlineStr">
        <is>
          <t>M. Flagship &amp; Investment</t>
        </is>
      </c>
      <c r="D83" s="67" t="n">
        <v>5</v>
      </c>
      <c r="E83" s="48" t="n">
        <v>0</v>
      </c>
      <c r="F83" s="43">
        <f>IF(1&lt;$D83,0,$E83*Assumptions!$C$4*INDEX(Assumptions!$C$8:$C$12,MIN(1-$D83+1,5)))</f>
        <v/>
      </c>
      <c r="G83" s="43">
        <f>IF(2&lt;$D83,0,$E83*Assumptions!$C$4*INDEX(Assumptions!$C$8:$C$12,MIN(2-$D83+1,5)))</f>
        <v/>
      </c>
      <c r="H83" s="43">
        <f>IF(3&lt;$D83,0,$E83*Assumptions!$C$4*INDEX(Assumptions!$C$8:$C$12,MIN(3-$D83+1,5)))</f>
        <v/>
      </c>
      <c r="I83" s="43">
        <f>IF(4&lt;$D83,0,$E83*Assumptions!$C$4*INDEX(Assumptions!$C$8:$C$12,MIN(4-$D83+1,5)))</f>
        <v/>
      </c>
      <c r="J83" s="43">
        <f>IF(5&lt;$D83,0,$E83*Assumptions!$C$4*INDEX(Assumptions!$C$8:$C$12,MIN(5-$D83+1,5)))</f>
        <v/>
      </c>
    </row>
    <row r="84" ht="15" customHeight="1" s="36">
      <c r="A84" s="63" t="n">
        <v>83</v>
      </c>
      <c r="B84" s="63" t="inlineStr">
        <is>
          <t>Flagship venue &amp; stadium booking</t>
        </is>
      </c>
      <c r="C84" s="63" t="inlineStr">
        <is>
          <t>M. Flagship &amp; Investment</t>
        </is>
      </c>
      <c r="D84" s="64" t="n">
        <v>4</v>
      </c>
      <c r="E84" s="65" t="n">
        <v>35000000</v>
      </c>
      <c r="F84" s="66">
        <f>IF(1&lt;$D84,0,$E84*Assumptions!$C$4*INDEX(Assumptions!$C$8:$C$12,MIN(1-$D84+1,5)))</f>
        <v/>
      </c>
      <c r="G84" s="66">
        <f>IF(2&lt;$D84,0,$E84*Assumptions!$C$4*INDEX(Assumptions!$C$8:$C$12,MIN(2-$D84+1,5)))</f>
        <v/>
      </c>
      <c r="H84" s="66">
        <f>IF(3&lt;$D84,0,$E84*Assumptions!$C$4*INDEX(Assumptions!$C$8:$C$12,MIN(3-$D84+1,5)))</f>
        <v/>
      </c>
      <c r="I84" s="66">
        <f>IF(4&lt;$D84,0,$E84*Assumptions!$C$4*INDEX(Assumptions!$C$8:$C$12,MIN(4-$D84+1,5)))</f>
        <v/>
      </c>
      <c r="J84" s="66">
        <f>IF(5&lt;$D84,0,$E84*Assumptions!$C$4*INDEX(Assumptions!$C$8:$C$12,MIN(5-$D84+1,5)))</f>
        <v/>
      </c>
    </row>
    <row r="85" ht="15" customHeight="1" s="36">
      <c r="A85" s="41" t="n">
        <v>84</v>
      </c>
      <c r="B85" s="41" t="inlineStr">
        <is>
          <t>Universal site &amp; attraction ticketing</t>
        </is>
      </c>
      <c r="C85" s="41" t="inlineStr">
        <is>
          <t>M. Flagship &amp; Investment</t>
        </is>
      </c>
      <c r="D85" s="67" t="n">
        <v>4</v>
      </c>
      <c r="E85" s="48" t="n">
        <v>25000000</v>
      </c>
      <c r="F85" s="43">
        <f>IF(1&lt;$D85,0,$E85*Assumptions!$C$4*INDEX(Assumptions!$C$8:$C$12,MIN(1-$D85+1,5)))</f>
        <v/>
      </c>
      <c r="G85" s="43">
        <f>IF(2&lt;$D85,0,$E85*Assumptions!$C$4*INDEX(Assumptions!$C$8:$C$12,MIN(2-$D85+1,5)))</f>
        <v/>
      </c>
      <c r="H85" s="43">
        <f>IF(3&lt;$D85,0,$E85*Assumptions!$C$4*INDEX(Assumptions!$C$8:$C$12,MIN(3-$D85+1,5)))</f>
        <v/>
      </c>
      <c r="I85" s="43">
        <f>IF(4&lt;$D85,0,$E85*Assumptions!$C$4*INDEX(Assumptions!$C$8:$C$12,MIN(4-$D85+1,5)))</f>
        <v/>
      </c>
      <c r="J85" s="43">
        <f>IF(5&lt;$D85,0,$E85*Assumptions!$C$4*INDEX(Assumptions!$C$8:$C$12,MIN(5-$D85+1,5)))</f>
        <v/>
      </c>
    </row>
    <row r="86" ht="15" customHeight="1" s="36">
      <c r="A86" s="63" t="n">
        <v>85</v>
      </c>
      <c r="B86" s="63" t="inlineStr">
        <is>
          <t>Equity &amp; investment facilitation</t>
        </is>
      </c>
      <c r="C86" s="63" t="inlineStr">
        <is>
          <t>M. Flagship &amp; Investment</t>
        </is>
      </c>
      <c r="D86" s="64" t="n">
        <v>5</v>
      </c>
      <c r="E86" s="65" t="n">
        <v>50000000</v>
      </c>
      <c r="F86" s="66">
        <f>IF(1&lt;$D86,0,$E86*Assumptions!$C$4*INDEX(Assumptions!$C$8:$C$12,MIN(1-$D86+1,5)))</f>
        <v/>
      </c>
      <c r="G86" s="66">
        <f>IF(2&lt;$D86,0,$E86*Assumptions!$C$4*INDEX(Assumptions!$C$8:$C$12,MIN(2-$D86+1,5)))</f>
        <v/>
      </c>
      <c r="H86" s="66">
        <f>IF(3&lt;$D86,0,$E86*Assumptions!$C$4*INDEX(Assumptions!$C$8:$C$12,MIN(3-$D86+1,5)))</f>
        <v/>
      </c>
      <c r="I86" s="66">
        <f>IF(4&lt;$D86,0,$E86*Assumptions!$C$4*INDEX(Assumptions!$C$8:$C$12,MIN(4-$D86+1,5)))</f>
        <v/>
      </c>
      <c r="J86" s="66">
        <f>IF(5&lt;$D86,0,$E86*Assumptions!$C$4*INDEX(Assumptions!$C$8:$C$12,MIN(5-$D86+1,5)))</f>
        <v/>
      </c>
    </row>
    <row r="87" ht="15" customHeight="1" s="36">
      <c r="A87" s="41" t="n">
        <v>86</v>
      </c>
      <c r="B87" s="41" t="inlineStr">
        <is>
          <t>Multi-zone SEZ marketplace</t>
        </is>
      </c>
      <c r="C87" s="41" t="inlineStr">
        <is>
          <t>M. Flagship &amp; Investment</t>
        </is>
      </c>
      <c r="D87" s="67" t="n">
        <v>5</v>
      </c>
      <c r="E87" s="48" t="n">
        <v>45000000</v>
      </c>
      <c r="F87" s="43">
        <f>IF(1&lt;$D87,0,$E87*Assumptions!$C$4*INDEX(Assumptions!$C$8:$C$12,MIN(1-$D87+1,5)))</f>
        <v/>
      </c>
      <c r="G87" s="43">
        <f>IF(2&lt;$D87,0,$E87*Assumptions!$C$4*INDEX(Assumptions!$C$8:$C$12,MIN(2-$D87+1,5)))</f>
        <v/>
      </c>
      <c r="H87" s="43">
        <f>IF(3&lt;$D87,0,$E87*Assumptions!$C$4*INDEX(Assumptions!$C$8:$C$12,MIN(3-$D87+1,5)))</f>
        <v/>
      </c>
      <c r="I87" s="43">
        <f>IF(4&lt;$D87,0,$E87*Assumptions!$C$4*INDEX(Assumptions!$C$8:$C$12,MIN(4-$D87+1,5)))</f>
        <v/>
      </c>
      <c r="J87" s="43">
        <f>IF(5&lt;$D87,0,$E87*Assumptions!$C$4*INDEX(Assumptions!$C$8:$C$12,MIN(5-$D87+1,5)))</f>
        <v/>
      </c>
    </row>
    <row r="88" ht="15" customHeight="1" s="36">
      <c r="A88" s="63" t="n">
        <v>87</v>
      </c>
      <c r="B88" s="63" t="inlineStr">
        <is>
          <t>Bulk trade brokerage</t>
        </is>
      </c>
      <c r="C88" s="63" t="inlineStr">
        <is>
          <t>M. Flagship &amp; Investment</t>
        </is>
      </c>
      <c r="D88" s="64" t="n">
        <v>5</v>
      </c>
      <c r="E88" s="65" t="n">
        <v>60000000</v>
      </c>
      <c r="F88" s="66">
        <f>IF(1&lt;$D88,0,$E88*Assumptions!$C$4*INDEX(Assumptions!$C$8:$C$12,MIN(1-$D88+1,5)))</f>
        <v/>
      </c>
      <c r="G88" s="66">
        <f>IF(2&lt;$D88,0,$E88*Assumptions!$C$4*INDEX(Assumptions!$C$8:$C$12,MIN(2-$D88+1,5)))</f>
        <v/>
      </c>
      <c r="H88" s="66">
        <f>IF(3&lt;$D88,0,$E88*Assumptions!$C$4*INDEX(Assumptions!$C$8:$C$12,MIN(3-$D88+1,5)))</f>
        <v/>
      </c>
      <c r="I88" s="66">
        <f>IF(4&lt;$D88,0,$E88*Assumptions!$C$4*INDEX(Assumptions!$C$8:$C$12,MIN(4-$D88+1,5)))</f>
        <v/>
      </c>
      <c r="J88" s="66">
        <f>IF(5&lt;$D88,0,$E88*Assumptions!$C$4*INDEX(Assumptions!$C$8:$C$12,MIN(5-$D88+1,5)))</f>
        <v/>
      </c>
    </row>
    <row r="89" ht="15" customHeight="1" s="36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</row>
    <row r="90" ht="15" customHeight="1" s="36">
      <c r="A90" s="41" t="n"/>
      <c r="B90" s="42" t="inlineStr">
        <is>
          <t>TOTAL — all 87 pipelines (KSh/yr)</t>
        </is>
      </c>
      <c r="C90" s="41" t="n"/>
      <c r="D90" s="41" t="n"/>
      <c r="E90" s="41" t="n"/>
      <c r="F90" s="46">
        <f>SUM(F2:F88)</f>
        <v/>
      </c>
      <c r="G90" s="46">
        <f>SUM(G2:G88)</f>
        <v/>
      </c>
      <c r="H90" s="46">
        <f>SUM(H2:H88)</f>
        <v/>
      </c>
      <c r="I90" s="46">
        <f>SUM(I2:I88)</f>
        <v/>
      </c>
      <c r="J90" s="46">
        <f>SUM(J2:J88)</f>
        <v/>
      </c>
    </row>
    <row r="91" ht="15" customHeight="1" s="36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5" min="1" max="1"/>
    <col width="18" customWidth="1" style="35" min="2" max="6"/>
    <col width="12" customWidth="1" style="35" min="7" max="7"/>
  </cols>
  <sheetData>
    <row r="1" ht="15" customHeight="1" s="36">
      <c r="A1" s="68" t="inlineStr">
        <is>
          <t>Category</t>
        </is>
      </c>
      <c r="B1" s="68" t="inlineStr">
        <is>
          <t>Year 1 (KSh)</t>
        </is>
      </c>
      <c r="C1" s="68" t="inlineStr">
        <is>
          <t>Year 2 (KSh)</t>
        </is>
      </c>
      <c r="D1" s="68" t="inlineStr">
        <is>
          <t>Year 3 (KSh)</t>
        </is>
      </c>
      <c r="E1" s="68" t="inlineStr">
        <is>
          <t>Year 4 (KSh)</t>
        </is>
      </c>
      <c r="F1" s="68" t="inlineStr">
        <is>
          <t>Year 5 (KSh)</t>
        </is>
      </c>
      <c r="G1" s="68" t="inlineStr">
        <is>
          <t>5-Yr CAGR</t>
        </is>
      </c>
      <c r="H1" s="51" t="n"/>
    </row>
    <row r="2" ht="15" customHeight="1" s="36">
      <c r="A2" s="53" t="inlineStr">
        <is>
          <t>A. Agriculture</t>
        </is>
      </c>
      <c r="B2" s="69">
        <f>SUMIFS('Pipeline Model'!F$2:F$88,'Pipeline Model'!$C$2:$C$88,$A2)</f>
        <v/>
      </c>
      <c r="C2" s="69">
        <f>SUMIFS('Pipeline Model'!G$2:G$88,'Pipeline Model'!$C$2:$C$88,$A2)</f>
        <v/>
      </c>
      <c r="D2" s="69">
        <f>SUMIFS('Pipeline Model'!H$2:H$88,'Pipeline Model'!$C$2:$C$88,$A2)</f>
        <v/>
      </c>
      <c r="E2" s="69">
        <f>SUMIFS('Pipeline Model'!I$2:I$88,'Pipeline Model'!$C$2:$C$88,$A2)</f>
        <v/>
      </c>
      <c r="F2" s="69">
        <f>SUMIFS('Pipeline Model'!J$2:J$88,'Pipeline Model'!$C$2:$C$88,$A2)</f>
        <v/>
      </c>
      <c r="G2" s="70">
        <f>IFERROR((F2/B2)^(1/4)-1,"n/m")</f>
        <v/>
      </c>
      <c r="H2" s="51" t="n"/>
    </row>
    <row r="3" ht="15" customHeight="1" s="36">
      <c r="A3" s="39" t="inlineStr">
        <is>
          <t>B. Minerals</t>
        </is>
      </c>
      <c r="B3" s="62">
        <f>SUMIFS('Pipeline Model'!F$2:F$88,'Pipeline Model'!$C$2:$C$88,$A3)</f>
        <v/>
      </c>
      <c r="C3" s="62">
        <f>SUMIFS('Pipeline Model'!G$2:G$88,'Pipeline Model'!$C$2:$C$88,$A3)</f>
        <v/>
      </c>
      <c r="D3" s="62">
        <f>SUMIFS('Pipeline Model'!H$2:H$88,'Pipeline Model'!$C$2:$C$88,$A3)</f>
        <v/>
      </c>
      <c r="E3" s="62">
        <f>SUMIFS('Pipeline Model'!I$2:I$88,'Pipeline Model'!$C$2:$C$88,$A3)</f>
        <v/>
      </c>
      <c r="F3" s="62">
        <f>SUMIFS('Pipeline Model'!J$2:J$88,'Pipeline Model'!$C$2:$C$88,$A3)</f>
        <v/>
      </c>
      <c r="G3" s="71">
        <f>IFERROR((F3/B3)^(1/4)-1,"n/m")</f>
        <v/>
      </c>
      <c r="H3" s="39" t="n"/>
    </row>
    <row r="4" ht="15" customHeight="1" s="36">
      <c r="A4" s="42" t="inlineStr">
        <is>
          <t>C. Industrial &amp; SEZ</t>
        </is>
      </c>
      <c r="B4" s="43">
        <f>SUMIFS('Pipeline Model'!F$2:F$88,'Pipeline Model'!$C$2:$C$88,$A4)</f>
        <v/>
      </c>
      <c r="C4" s="43">
        <f>SUMIFS('Pipeline Model'!G$2:G$88,'Pipeline Model'!$C$2:$C$88,$A4)</f>
        <v/>
      </c>
      <c r="D4" s="43">
        <f>SUMIFS('Pipeline Model'!H$2:H$88,'Pipeline Model'!$C$2:$C$88,$A4)</f>
        <v/>
      </c>
      <c r="E4" s="43">
        <f>SUMIFS('Pipeline Model'!I$2:I$88,'Pipeline Model'!$C$2:$C$88,$A4)</f>
        <v/>
      </c>
      <c r="F4" s="43">
        <f>SUMIFS('Pipeline Model'!J$2:J$88,'Pipeline Model'!$C$2:$C$88,$A4)</f>
        <v/>
      </c>
      <c r="G4" s="72">
        <f>IFERROR((F4/B4)^(1/4)-1,"n/m")</f>
        <v/>
      </c>
      <c r="H4" s="41" t="n"/>
    </row>
    <row r="5" ht="15" customHeight="1" s="36">
      <c r="A5" s="42" t="inlineStr">
        <is>
          <t>D. Energy &amp; Infra</t>
        </is>
      </c>
      <c r="B5" s="43">
        <f>SUMIFS('Pipeline Model'!F$2:F$88,'Pipeline Model'!$C$2:$C$88,$A5)</f>
        <v/>
      </c>
      <c r="C5" s="43">
        <f>SUMIFS('Pipeline Model'!G$2:G$88,'Pipeline Model'!$C$2:$C$88,$A5)</f>
        <v/>
      </c>
      <c r="D5" s="43">
        <f>SUMIFS('Pipeline Model'!H$2:H$88,'Pipeline Model'!$C$2:$C$88,$A5)</f>
        <v/>
      </c>
      <c r="E5" s="43">
        <f>SUMIFS('Pipeline Model'!I$2:I$88,'Pipeline Model'!$C$2:$C$88,$A5)</f>
        <v/>
      </c>
      <c r="F5" s="43">
        <f>SUMIFS('Pipeline Model'!J$2:J$88,'Pipeline Model'!$C$2:$C$88,$A5)</f>
        <v/>
      </c>
      <c r="G5" s="72">
        <f>IFERROR((F5/B5)^(1/4)-1,"n/m")</f>
        <v/>
      </c>
      <c r="H5" s="41" t="n"/>
    </row>
    <row r="6" ht="15" customHeight="1" s="36">
      <c r="A6" s="42" t="inlineStr">
        <is>
          <t>E. Real Estate</t>
        </is>
      </c>
      <c r="B6" s="43">
        <f>SUMIFS('Pipeline Model'!F$2:F$88,'Pipeline Model'!$C$2:$C$88,$A6)</f>
        <v/>
      </c>
      <c r="C6" s="43">
        <f>SUMIFS('Pipeline Model'!G$2:G$88,'Pipeline Model'!$C$2:$C$88,$A6)</f>
        <v/>
      </c>
      <c r="D6" s="43">
        <f>SUMIFS('Pipeline Model'!H$2:H$88,'Pipeline Model'!$C$2:$C$88,$A6)</f>
        <v/>
      </c>
      <c r="E6" s="43">
        <f>SUMIFS('Pipeline Model'!I$2:I$88,'Pipeline Model'!$C$2:$C$88,$A6)</f>
        <v/>
      </c>
      <c r="F6" s="43">
        <f>SUMIFS('Pipeline Model'!J$2:J$88,'Pipeline Model'!$C$2:$C$88,$A6)</f>
        <v/>
      </c>
      <c r="G6" s="72">
        <f>IFERROR((F6/B6)^(1/4)-1,"n/m")</f>
        <v/>
      </c>
      <c r="H6" s="41" t="n"/>
    </row>
    <row r="7" ht="15" customHeight="1" s="36">
      <c r="A7" s="42" t="inlineStr">
        <is>
          <t>F. Tourism</t>
        </is>
      </c>
      <c r="B7" s="43">
        <f>SUMIFS('Pipeline Model'!F$2:F$88,'Pipeline Model'!$C$2:$C$88,$A7)</f>
        <v/>
      </c>
      <c r="C7" s="43">
        <f>SUMIFS('Pipeline Model'!G$2:G$88,'Pipeline Model'!$C$2:$C$88,$A7)</f>
        <v/>
      </c>
      <c r="D7" s="43">
        <f>SUMIFS('Pipeline Model'!H$2:H$88,'Pipeline Model'!$C$2:$C$88,$A7)</f>
        <v/>
      </c>
      <c r="E7" s="43">
        <f>SUMIFS('Pipeline Model'!I$2:I$88,'Pipeline Model'!$C$2:$C$88,$A7)</f>
        <v/>
      </c>
      <c r="F7" s="43">
        <f>SUMIFS('Pipeline Model'!J$2:J$88,'Pipeline Model'!$C$2:$C$88,$A7)</f>
        <v/>
      </c>
      <c r="G7" s="72">
        <f>IFERROR((F7/B7)^(1/4)-1,"n/m")</f>
        <v/>
      </c>
      <c r="H7" s="41" t="n"/>
    </row>
    <row r="8" ht="15" customHeight="1" s="36">
      <c r="A8" s="42" t="inlineStr">
        <is>
          <t>G. Commerce &amp; Discovery</t>
        </is>
      </c>
      <c r="B8" s="43">
        <f>SUMIFS('Pipeline Model'!F$2:F$88,'Pipeline Model'!$C$2:$C$88,$A8)</f>
        <v/>
      </c>
      <c r="C8" s="43">
        <f>SUMIFS('Pipeline Model'!G$2:G$88,'Pipeline Model'!$C$2:$C$88,$A8)</f>
        <v/>
      </c>
      <c r="D8" s="43">
        <f>SUMIFS('Pipeline Model'!H$2:H$88,'Pipeline Model'!$C$2:$C$88,$A8)</f>
        <v/>
      </c>
      <c r="E8" s="43">
        <f>SUMIFS('Pipeline Model'!I$2:I$88,'Pipeline Model'!$C$2:$C$88,$A8)</f>
        <v/>
      </c>
      <c r="F8" s="43">
        <f>SUMIFS('Pipeline Model'!J$2:J$88,'Pipeline Model'!$C$2:$C$88,$A8)</f>
        <v/>
      </c>
      <c r="G8" s="72">
        <f>IFERROR((F8/B8)^(1/4)-1,"n/m")</f>
        <v/>
      </c>
      <c r="H8" s="41" t="n"/>
    </row>
    <row r="9" ht="15" customHeight="1" s="36">
      <c r="A9" s="42" t="inlineStr">
        <is>
          <t>H. Logistics</t>
        </is>
      </c>
      <c r="B9" s="43">
        <f>SUMIFS('Pipeline Model'!F$2:F$88,'Pipeline Model'!$C$2:$C$88,$A9)</f>
        <v/>
      </c>
      <c r="C9" s="43">
        <f>SUMIFS('Pipeline Model'!G$2:G$88,'Pipeline Model'!$C$2:$C$88,$A9)</f>
        <v/>
      </c>
      <c r="D9" s="43">
        <f>SUMIFS('Pipeline Model'!H$2:H$88,'Pipeline Model'!$C$2:$C$88,$A9)</f>
        <v/>
      </c>
      <c r="E9" s="43">
        <f>SUMIFS('Pipeline Model'!I$2:I$88,'Pipeline Model'!$C$2:$C$88,$A9)</f>
        <v/>
      </c>
      <c r="F9" s="43">
        <f>SUMIFS('Pipeline Model'!J$2:J$88,'Pipeline Model'!$C$2:$C$88,$A9)</f>
        <v/>
      </c>
      <c r="G9" s="72">
        <f>IFERROR((F9/B9)^(1/4)-1,"n/m")</f>
        <v/>
      </c>
      <c r="H9" s="41" t="n"/>
    </row>
    <row r="10" ht="15" customHeight="1" s="36">
      <c r="A10" s="42" t="inlineStr">
        <is>
          <t>I. Financial Services</t>
        </is>
      </c>
      <c r="B10" s="43">
        <f>SUMIFS('Pipeline Model'!F$2:F$88,'Pipeline Model'!$C$2:$C$88,$A10)</f>
        <v/>
      </c>
      <c r="C10" s="43">
        <f>SUMIFS('Pipeline Model'!G$2:G$88,'Pipeline Model'!$C$2:$C$88,$A10)</f>
        <v/>
      </c>
      <c r="D10" s="43">
        <f>SUMIFS('Pipeline Model'!H$2:H$88,'Pipeline Model'!$C$2:$C$88,$A10)</f>
        <v/>
      </c>
      <c r="E10" s="43">
        <f>SUMIFS('Pipeline Model'!I$2:I$88,'Pipeline Model'!$C$2:$C$88,$A10)</f>
        <v/>
      </c>
      <c r="F10" s="43">
        <f>SUMIFS('Pipeline Model'!J$2:J$88,'Pipeline Model'!$C$2:$C$88,$A10)</f>
        <v/>
      </c>
      <c r="G10" s="72">
        <f>IFERROR((F10/B10)^(1/4)-1,"n/m")</f>
        <v/>
      </c>
      <c r="H10" s="41" t="n"/>
    </row>
    <row r="11" ht="15" customHeight="1" s="36">
      <c r="A11" s="42" t="inlineStr">
        <is>
          <t>J. Government</t>
        </is>
      </c>
      <c r="B11" s="43">
        <f>SUMIFS('Pipeline Model'!F$2:F$88,'Pipeline Model'!$C$2:$C$88,$A11)</f>
        <v/>
      </c>
      <c r="C11" s="43">
        <f>SUMIFS('Pipeline Model'!G$2:G$88,'Pipeline Model'!$C$2:$C$88,$A11)</f>
        <v/>
      </c>
      <c r="D11" s="43">
        <f>SUMIFS('Pipeline Model'!H$2:H$88,'Pipeline Model'!$C$2:$C$88,$A11)</f>
        <v/>
      </c>
      <c r="E11" s="43">
        <f>SUMIFS('Pipeline Model'!I$2:I$88,'Pipeline Model'!$C$2:$C$88,$A11)</f>
        <v/>
      </c>
      <c r="F11" s="43">
        <f>SUMIFS('Pipeline Model'!J$2:J$88,'Pipeline Model'!$C$2:$C$88,$A11)</f>
        <v/>
      </c>
      <c r="G11" s="72">
        <f>IFERROR((F11/B11)^(1/4)-1,"n/m")</f>
        <v/>
      </c>
      <c r="H11" s="41" t="n"/>
    </row>
    <row r="12" ht="15" customHeight="1" s="36">
      <c r="A12" s="42" t="inlineStr">
        <is>
          <t>K. Additional Sectors</t>
        </is>
      </c>
      <c r="B12" s="43">
        <f>SUMIFS('Pipeline Model'!F$2:F$88,'Pipeline Model'!$C$2:$C$88,$A12)</f>
        <v/>
      </c>
      <c r="C12" s="43">
        <f>SUMIFS('Pipeline Model'!G$2:G$88,'Pipeline Model'!$C$2:$C$88,$A12)</f>
        <v/>
      </c>
      <c r="D12" s="43">
        <f>SUMIFS('Pipeline Model'!H$2:H$88,'Pipeline Model'!$C$2:$C$88,$A12)</f>
        <v/>
      </c>
      <c r="E12" s="43">
        <f>SUMIFS('Pipeline Model'!I$2:I$88,'Pipeline Model'!$C$2:$C$88,$A12)</f>
        <v/>
      </c>
      <c r="F12" s="43">
        <f>SUMIFS('Pipeline Model'!J$2:J$88,'Pipeline Model'!$C$2:$C$88,$A12)</f>
        <v/>
      </c>
      <c r="G12" s="72">
        <f>IFERROR((F12/B12)^(1/4)-1,"n/m")</f>
        <v/>
      </c>
      <c r="H12" s="41" t="n"/>
    </row>
    <row r="13" ht="15" customHeight="1" s="36">
      <c r="A13" s="42" t="inlineStr">
        <is>
          <t>L. RE Rental Expansion</t>
        </is>
      </c>
      <c r="B13" s="43">
        <f>SUMIFS('Pipeline Model'!F$2:F$88,'Pipeline Model'!$C$2:$C$88,$A13)</f>
        <v/>
      </c>
      <c r="C13" s="43">
        <f>SUMIFS('Pipeline Model'!G$2:G$88,'Pipeline Model'!$C$2:$C$88,$A13)</f>
        <v/>
      </c>
      <c r="D13" s="43">
        <f>SUMIFS('Pipeline Model'!H$2:H$88,'Pipeline Model'!$C$2:$C$88,$A13)</f>
        <v/>
      </c>
      <c r="E13" s="43">
        <f>SUMIFS('Pipeline Model'!I$2:I$88,'Pipeline Model'!$C$2:$C$88,$A13)</f>
        <v/>
      </c>
      <c r="F13" s="43">
        <f>SUMIFS('Pipeline Model'!J$2:J$88,'Pipeline Model'!$C$2:$C$88,$A13)</f>
        <v/>
      </c>
      <c r="G13" s="72">
        <f>IFERROR((F13/B13)^(1/4)-1,"n/m")</f>
        <v/>
      </c>
      <c r="H13" s="41" t="n"/>
    </row>
    <row r="14" ht="15" customHeight="1" s="36">
      <c r="A14" s="42" t="inlineStr">
        <is>
          <t>M. Flagship &amp; Investment</t>
        </is>
      </c>
      <c r="B14" s="43">
        <f>SUMIFS('Pipeline Model'!F$2:F$88,'Pipeline Model'!$C$2:$C$88,$A14)</f>
        <v/>
      </c>
      <c r="C14" s="43">
        <f>SUMIFS('Pipeline Model'!G$2:G$88,'Pipeline Model'!$C$2:$C$88,$A14)</f>
        <v/>
      </c>
      <c r="D14" s="43">
        <f>SUMIFS('Pipeline Model'!H$2:H$88,'Pipeline Model'!$C$2:$C$88,$A14)</f>
        <v/>
      </c>
      <c r="E14" s="43">
        <f>SUMIFS('Pipeline Model'!I$2:I$88,'Pipeline Model'!$C$2:$C$88,$A14)</f>
        <v/>
      </c>
      <c r="F14" s="43">
        <f>SUMIFS('Pipeline Model'!J$2:J$88,'Pipeline Model'!$C$2:$C$88,$A14)</f>
        <v/>
      </c>
      <c r="G14" s="72">
        <f>IFERROR((F14/B14)^(1/4)-1,"n/m")</f>
        <v/>
      </c>
      <c r="H14" s="41" t="n"/>
    </row>
    <row r="15" ht="15" customHeight="1" s="36">
      <c r="A15" s="42" t="inlineStr">
        <is>
          <t>TOTAL</t>
        </is>
      </c>
      <c r="B15" s="46">
        <f>SUM(B2:B14)</f>
        <v/>
      </c>
      <c r="C15" s="46">
        <f>SUM(C2:C14)</f>
        <v/>
      </c>
      <c r="D15" s="46">
        <f>SUM(D2:D14)</f>
        <v/>
      </c>
      <c r="E15" s="46">
        <f>SUM(E2:E14)</f>
        <v/>
      </c>
      <c r="F15" s="46">
        <f>SUM(F2:F14)</f>
        <v/>
      </c>
      <c r="G15" s="41" t="n"/>
      <c r="H15" s="41" t="n"/>
    </row>
    <row r="16" ht="15" customHeight="1" s="36">
      <c r="A16" s="41" t="n"/>
      <c r="B16" s="41" t="n"/>
      <c r="C16" s="41" t="n"/>
      <c r="D16" s="41" t="n"/>
      <c r="E16" s="41" t="n"/>
      <c r="F16" s="41" t="n"/>
      <c r="G16" s="41" t="n"/>
      <c r="H16" s="41" t="n"/>
    </row>
    <row r="17" ht="15" customHeight="1" s="36">
      <c r="A17" s="41" t="n"/>
      <c r="B17" s="41" t="n"/>
      <c r="C17" s="41" t="n"/>
      <c r="D17" s="41" t="n"/>
      <c r="E17" s="41" t="n"/>
      <c r="F17" s="41" t="n"/>
      <c r="G17" s="41" t="n"/>
      <c r="H17" s="41" t="n"/>
    </row>
    <row r="18" ht="15" customHeight="1" s="36">
      <c r="A18" s="41" t="n"/>
      <c r="B18" s="41" t="n"/>
      <c r="C18" s="41" t="n"/>
      <c r="D18" s="41" t="n"/>
      <c r="E18" s="41" t="n"/>
      <c r="F18" s="41" t="n"/>
      <c r="G18" s="41" t="n"/>
      <c r="H18" s="4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R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35" min="1" max="1"/>
    <col width="15" customWidth="1" style="35" min="2" max="18"/>
    <col width="15" customWidth="1" style="36" min="3" max="3"/>
    <col width="15" customWidth="1" style="36" min="4" max="4"/>
    <col width="15" customWidth="1" style="36" min="5" max="5"/>
    <col width="15" customWidth="1" style="36" min="6" max="6"/>
    <col width="15" customWidth="1" style="36" min="7" max="7"/>
    <col width="15" customWidth="1" style="36" min="8" max="8"/>
    <col width="15" customWidth="1" style="36" min="9" max="9"/>
    <col width="15" customWidth="1" style="36" min="10" max="10"/>
    <col width="15" customWidth="1" style="36" min="11" max="11"/>
    <col width="15" customWidth="1" style="36" min="12" max="12"/>
    <col width="15" customWidth="1" style="36" min="13" max="13"/>
    <col width="15" customWidth="1" style="36" min="14" max="14"/>
    <col width="15" customWidth="1" style="36" min="15" max="15"/>
    <col width="15" customWidth="1" style="36" min="16" max="16"/>
    <col width="15" customWidth="1" style="36" min="17" max="17"/>
    <col width="15" customWidth="1" style="36" min="18" max="18"/>
  </cols>
  <sheetData>
    <row r="1" ht="16.15" customHeight="1" s="36">
      <c r="A1" s="73" t="inlineStr">
        <is>
          <t>Advertising &amp; Media Cost by Sector — Screentime vs Airtime (KES)</t>
        </is>
      </c>
    </row>
    <row r="2" ht="15" customHeight="1" s="36">
      <c r="A2" s="35" t="inlineStr">
        <is>
          <t>Marketing cost = sector gross revenue x marketing-to-revenue ratio (14%, 11%, 9%, 7%, 6% in Years 1-5), split by channel mix. Figures are rounded to whole Kenya Shillings and each row reconciles to its total.</t>
        </is>
      </c>
    </row>
    <row r="3" ht="15" customHeight="1" s="36">
      <c r="A3" s="39" t="inlineStr">
        <is>
          <t>Sector</t>
        </is>
      </c>
      <c r="B3" s="39" t="inlineStr">
        <is>
          <t>Screentime %</t>
        </is>
      </c>
      <c r="C3" s="39" t="inlineStr">
        <is>
          <t>Airtime %</t>
        </is>
      </c>
      <c r="D3" s="39" t="inlineStr">
        <is>
          <t>Year 1 Total</t>
        </is>
      </c>
      <c r="E3" s="39" t="inlineStr">
        <is>
          <t>Year 1 Screentime</t>
        </is>
      </c>
      <c r="F3" s="39" t="inlineStr">
        <is>
          <t>Year 1 Airtime</t>
        </is>
      </c>
      <c r="G3" s="39" t="inlineStr">
        <is>
          <t>Year 2 Total</t>
        </is>
      </c>
      <c r="H3" s="39" t="inlineStr">
        <is>
          <t>Year 2 Screentime</t>
        </is>
      </c>
      <c r="I3" s="39" t="inlineStr">
        <is>
          <t>Year 2 Airtime</t>
        </is>
      </c>
      <c r="J3" s="39" t="inlineStr">
        <is>
          <t>Year 3 Total</t>
        </is>
      </c>
      <c r="K3" s="39" t="inlineStr">
        <is>
          <t>Year 3 Screentime</t>
        </is>
      </c>
      <c r="L3" s="39" t="inlineStr">
        <is>
          <t>Year 3 Airtime</t>
        </is>
      </c>
      <c r="M3" s="39" t="inlineStr">
        <is>
          <t>Year 4 Total</t>
        </is>
      </c>
      <c r="N3" s="39" t="inlineStr">
        <is>
          <t>Year 4 Screentime</t>
        </is>
      </c>
      <c r="O3" s="39" t="inlineStr">
        <is>
          <t>Year 4 Airtime</t>
        </is>
      </c>
      <c r="P3" s="39" t="inlineStr">
        <is>
          <t>Year 5 Total</t>
        </is>
      </c>
      <c r="Q3" s="39" t="inlineStr">
        <is>
          <t>Year 5 Screentime</t>
        </is>
      </c>
      <c r="R3" s="39" t="inlineStr">
        <is>
          <t>Year 5 Airtime</t>
        </is>
      </c>
    </row>
    <row r="4" ht="30" customHeight="1" s="36">
      <c r="A4" s="49" t="inlineStr">
        <is>
          <t>A. Agriculture</t>
        </is>
      </c>
      <c r="B4" s="74" t="n">
        <v>0.3</v>
      </c>
      <c r="C4" s="74" t="n">
        <v>0.7</v>
      </c>
      <c r="D4" s="75" t="n">
        <v>0</v>
      </c>
      <c r="E4" s="75" t="n">
        <v>0</v>
      </c>
      <c r="F4" s="75" t="n">
        <v>0</v>
      </c>
      <c r="G4" s="75" t="n">
        <v>13365000</v>
      </c>
      <c r="H4" s="75" t="n">
        <v>4009500</v>
      </c>
      <c r="I4" s="75" t="n">
        <v>9355500</v>
      </c>
      <c r="J4" s="75" t="n">
        <v>38475000</v>
      </c>
      <c r="K4" s="75" t="n">
        <v>11542500</v>
      </c>
      <c r="L4" s="75" t="n">
        <v>26932500</v>
      </c>
      <c r="M4" s="75" t="n">
        <v>58275000</v>
      </c>
      <c r="N4" s="75" t="n">
        <v>17482500</v>
      </c>
      <c r="O4" s="75" t="n">
        <v>40792500</v>
      </c>
      <c r="P4" s="75" t="n">
        <v>71550000</v>
      </c>
      <c r="Q4" s="75" t="n">
        <v>21465000</v>
      </c>
      <c r="R4" s="75" t="n">
        <v>50085000</v>
      </c>
    </row>
    <row r="5" ht="15" customHeight="1" s="36">
      <c r="A5" s="49" t="inlineStr">
        <is>
          <t>B. Minerals</t>
        </is>
      </c>
      <c r="B5" s="74" t="n">
        <v>0.4</v>
      </c>
      <c r="C5" s="74" t="n">
        <v>0.6</v>
      </c>
      <c r="D5" s="75" t="n">
        <v>0</v>
      </c>
      <c r="E5" s="75" t="n">
        <v>0</v>
      </c>
      <c r="F5" s="75" t="n">
        <v>0</v>
      </c>
      <c r="G5" s="75" t="n">
        <v>0</v>
      </c>
      <c r="H5" s="75" t="n">
        <v>0</v>
      </c>
      <c r="I5" s="75" t="n">
        <v>0</v>
      </c>
      <c r="J5" s="75" t="n">
        <v>5568750</v>
      </c>
      <c r="K5" s="75" t="n">
        <v>2227500</v>
      </c>
      <c r="L5" s="75" t="n">
        <v>3341250</v>
      </c>
      <c r="M5" s="75" t="n">
        <v>13119750</v>
      </c>
      <c r="N5" s="75" t="n">
        <v>5247900</v>
      </c>
      <c r="O5" s="75" t="n">
        <v>7871850</v>
      </c>
      <c r="P5" s="75" t="n">
        <v>18886500</v>
      </c>
      <c r="Q5" s="75" t="n">
        <v>7554600</v>
      </c>
      <c r="R5" s="75" t="n">
        <v>11331900</v>
      </c>
    </row>
    <row r="6" ht="15" customHeight="1" s="36">
      <c r="A6" s="49" t="inlineStr">
        <is>
          <t>C. Industrial &amp; SEZ</t>
        </is>
      </c>
      <c r="B6" s="74" t="n">
        <v>0.6</v>
      </c>
      <c r="C6" s="74" t="n">
        <v>0.4</v>
      </c>
      <c r="D6" s="75" t="n">
        <v>0</v>
      </c>
      <c r="E6" s="75" t="n">
        <v>0</v>
      </c>
      <c r="F6" s="75" t="n">
        <v>0</v>
      </c>
      <c r="G6" s="75" t="n">
        <v>618750</v>
      </c>
      <c r="H6" s="75" t="n">
        <v>371250</v>
      </c>
      <c r="I6" s="75" t="n">
        <v>247500</v>
      </c>
      <c r="J6" s="75" t="n">
        <v>3442500</v>
      </c>
      <c r="K6" s="75" t="n">
        <v>2065500</v>
      </c>
      <c r="L6" s="75" t="n">
        <v>1377000</v>
      </c>
      <c r="M6" s="75" t="n">
        <v>6772500</v>
      </c>
      <c r="N6" s="75" t="n">
        <v>4063500</v>
      </c>
      <c r="O6" s="75" t="n">
        <v>2709000</v>
      </c>
      <c r="P6" s="75" t="n">
        <v>9360000</v>
      </c>
      <c r="Q6" s="75" t="n">
        <v>5616000</v>
      </c>
      <c r="R6" s="75" t="n">
        <v>3744000</v>
      </c>
    </row>
    <row r="7" ht="15" customHeight="1" s="36">
      <c r="A7" s="49" t="inlineStr">
        <is>
          <t>D. Energy &amp; Infra</t>
        </is>
      </c>
      <c r="B7" s="74" t="n">
        <v>0.55</v>
      </c>
      <c r="C7" s="74" t="n">
        <v>0.45</v>
      </c>
      <c r="D7" s="75" t="n">
        <v>0</v>
      </c>
      <c r="E7" s="75" t="n">
        <v>0</v>
      </c>
      <c r="F7" s="75" t="n">
        <v>0</v>
      </c>
      <c r="G7" s="75" t="n">
        <v>0</v>
      </c>
      <c r="H7" s="75" t="n">
        <v>0</v>
      </c>
      <c r="I7" s="75" t="n">
        <v>0</v>
      </c>
      <c r="J7" s="75" t="n">
        <v>0</v>
      </c>
      <c r="K7" s="75" t="n">
        <v>0</v>
      </c>
      <c r="L7" s="75" t="n">
        <v>0</v>
      </c>
      <c r="M7" s="75" t="n">
        <v>1181250</v>
      </c>
      <c r="N7" s="75" t="n">
        <v>649687</v>
      </c>
      <c r="O7" s="75" t="n">
        <v>531563</v>
      </c>
      <c r="P7" s="75" t="n">
        <v>3172500</v>
      </c>
      <c r="Q7" s="75" t="n">
        <v>1744875</v>
      </c>
      <c r="R7" s="75" t="n">
        <v>1427625</v>
      </c>
    </row>
    <row r="8" ht="15" customHeight="1" s="36">
      <c r="A8" s="49" t="inlineStr">
        <is>
          <t>E. Real Estate</t>
        </is>
      </c>
      <c r="B8" s="74" t="n">
        <v>0.7</v>
      </c>
      <c r="C8" s="74" t="n">
        <v>0.3</v>
      </c>
      <c r="D8" s="75" t="n">
        <v>6930000</v>
      </c>
      <c r="E8" s="75" t="n">
        <v>4851000</v>
      </c>
      <c r="F8" s="75" t="n">
        <v>2079000</v>
      </c>
      <c r="G8" s="75" t="n">
        <v>18438750</v>
      </c>
      <c r="H8" s="75" t="n">
        <v>12907125</v>
      </c>
      <c r="I8" s="75" t="n">
        <v>5531625</v>
      </c>
      <c r="J8" s="75" t="n">
        <v>27438750</v>
      </c>
      <c r="K8" s="75" t="n">
        <v>19207125</v>
      </c>
      <c r="L8" s="75" t="n">
        <v>8231625</v>
      </c>
      <c r="M8" s="75" t="n">
        <v>28638750</v>
      </c>
      <c r="N8" s="75" t="n">
        <v>20047125</v>
      </c>
      <c r="O8" s="75" t="n">
        <v>8591625</v>
      </c>
      <c r="P8" s="75" t="n">
        <v>27067500</v>
      </c>
      <c r="Q8" s="75" t="n">
        <v>18947250</v>
      </c>
      <c r="R8" s="75" t="n">
        <v>8120250</v>
      </c>
    </row>
    <row r="9" ht="15" customHeight="1" s="36">
      <c r="A9" s="49" t="inlineStr">
        <is>
          <t>F. Tourism</t>
        </is>
      </c>
      <c r="B9" s="74" t="n">
        <v>0.75</v>
      </c>
      <c r="C9" s="74" t="n">
        <v>0.25</v>
      </c>
      <c r="D9" s="75" t="n">
        <v>11025000</v>
      </c>
      <c r="E9" s="75" t="n">
        <v>8268750</v>
      </c>
      <c r="F9" s="75" t="n">
        <v>2756250</v>
      </c>
      <c r="G9" s="75" t="n">
        <v>28462500</v>
      </c>
      <c r="H9" s="75" t="n">
        <v>21346875</v>
      </c>
      <c r="I9" s="75" t="n">
        <v>7115625</v>
      </c>
      <c r="J9" s="75" t="n">
        <v>43031250</v>
      </c>
      <c r="K9" s="75" t="n">
        <v>32273437</v>
      </c>
      <c r="L9" s="75" t="n">
        <v>10757813</v>
      </c>
      <c r="M9" s="75" t="n">
        <v>46331250</v>
      </c>
      <c r="N9" s="75" t="n">
        <v>34748437</v>
      </c>
      <c r="O9" s="75" t="n">
        <v>11582813</v>
      </c>
      <c r="P9" s="75" t="n">
        <v>45112500</v>
      </c>
      <c r="Q9" s="75" t="n">
        <v>33834375</v>
      </c>
      <c r="R9" s="75" t="n">
        <v>11278125</v>
      </c>
    </row>
    <row r="10" ht="15" customHeight="1" s="36">
      <c r="A10" s="49" t="inlineStr">
        <is>
          <t>G. Commerce &amp; Discovery</t>
        </is>
      </c>
      <c r="B10" s="74" t="n">
        <v>0.65</v>
      </c>
      <c r="C10" s="74" t="n">
        <v>0.35</v>
      </c>
      <c r="D10" s="75" t="n">
        <v>15277500</v>
      </c>
      <c r="E10" s="75" t="n">
        <v>9930375</v>
      </c>
      <c r="F10" s="75" t="n">
        <v>5347125</v>
      </c>
      <c r="G10" s="75" t="n">
        <v>36011250</v>
      </c>
      <c r="H10" s="75" t="n">
        <v>23407312</v>
      </c>
      <c r="I10" s="75" t="n">
        <v>12603938</v>
      </c>
      <c r="J10" s="75" t="n">
        <v>50220000</v>
      </c>
      <c r="K10" s="75" t="n">
        <v>32643000</v>
      </c>
      <c r="L10" s="75" t="n">
        <v>17577000</v>
      </c>
      <c r="M10" s="75" t="n">
        <v>50977500</v>
      </c>
      <c r="N10" s="75" t="n">
        <v>33135375</v>
      </c>
      <c r="O10" s="75" t="n">
        <v>17842125</v>
      </c>
      <c r="P10" s="75" t="n">
        <v>47362500</v>
      </c>
      <c r="Q10" s="75" t="n">
        <v>30785625</v>
      </c>
      <c r="R10" s="75" t="n">
        <v>16576875</v>
      </c>
    </row>
    <row r="11" ht="15" customHeight="1" s="36">
      <c r="A11" s="49" t="inlineStr">
        <is>
          <t>H. Logistics</t>
        </is>
      </c>
      <c r="B11" s="74" t="n">
        <v>0.5</v>
      </c>
      <c r="C11" s="74" t="n">
        <v>0.5</v>
      </c>
      <c r="D11" s="75" t="n">
        <v>0</v>
      </c>
      <c r="E11" s="75" t="n">
        <v>0</v>
      </c>
      <c r="F11" s="75" t="n">
        <v>0</v>
      </c>
      <c r="G11" s="75" t="n">
        <v>0</v>
      </c>
      <c r="H11" s="75" t="n">
        <v>0</v>
      </c>
      <c r="I11" s="75" t="n">
        <v>0</v>
      </c>
      <c r="J11" s="75" t="n">
        <v>2936250</v>
      </c>
      <c r="K11" s="75" t="n">
        <v>1468125</v>
      </c>
      <c r="L11" s="75" t="n">
        <v>1468125</v>
      </c>
      <c r="M11" s="75" t="n">
        <v>6851250</v>
      </c>
      <c r="N11" s="75" t="n">
        <v>3425625</v>
      </c>
      <c r="O11" s="75" t="n">
        <v>3425625</v>
      </c>
      <c r="P11" s="75" t="n">
        <v>9787500</v>
      </c>
      <c r="Q11" s="75" t="n">
        <v>4893750</v>
      </c>
      <c r="R11" s="75" t="n">
        <v>4893750</v>
      </c>
    </row>
    <row r="12" ht="15" customHeight="1" s="36">
      <c r="A12" s="49" t="inlineStr">
        <is>
          <t>I. Financial Services</t>
        </is>
      </c>
      <c r="B12" s="74" t="n">
        <v>0.6</v>
      </c>
      <c r="C12" s="74" t="n">
        <v>0.4</v>
      </c>
      <c r="D12" s="75" t="n">
        <v>0</v>
      </c>
      <c r="E12" s="75" t="n">
        <v>0</v>
      </c>
      <c r="F12" s="75" t="n">
        <v>0</v>
      </c>
      <c r="G12" s="75" t="n">
        <v>1237500</v>
      </c>
      <c r="H12" s="75" t="n">
        <v>742500</v>
      </c>
      <c r="I12" s="75" t="n">
        <v>495000</v>
      </c>
      <c r="J12" s="75" t="n">
        <v>3037500</v>
      </c>
      <c r="K12" s="75" t="n">
        <v>1822500</v>
      </c>
      <c r="L12" s="75" t="n">
        <v>1215000</v>
      </c>
      <c r="M12" s="75" t="n">
        <v>5827500</v>
      </c>
      <c r="N12" s="75" t="n">
        <v>3496500</v>
      </c>
      <c r="O12" s="75" t="n">
        <v>2331000</v>
      </c>
      <c r="P12" s="75" t="n">
        <v>9945000</v>
      </c>
      <c r="Q12" s="75" t="n">
        <v>5967000</v>
      </c>
      <c r="R12" s="75" t="n">
        <v>3978000</v>
      </c>
    </row>
    <row r="13" ht="15" customHeight="1" s="36">
      <c r="A13" s="49" t="inlineStr">
        <is>
          <t>J. Government</t>
        </is>
      </c>
      <c r="B13" s="74" t="n">
        <v>0.35</v>
      </c>
      <c r="C13" s="74" t="n">
        <v>0.65</v>
      </c>
      <c r="D13" s="75" t="n">
        <v>472500</v>
      </c>
      <c r="E13" s="75" t="n">
        <v>165375</v>
      </c>
      <c r="F13" s="75" t="n">
        <v>307125</v>
      </c>
      <c r="G13" s="75" t="n">
        <v>2846250</v>
      </c>
      <c r="H13" s="75" t="n">
        <v>996187</v>
      </c>
      <c r="I13" s="75" t="n">
        <v>1850063</v>
      </c>
      <c r="J13" s="75" t="n">
        <v>5771250</v>
      </c>
      <c r="K13" s="75" t="n">
        <v>2019937</v>
      </c>
      <c r="L13" s="75" t="n">
        <v>3751313</v>
      </c>
      <c r="M13" s="75" t="n">
        <v>7008750</v>
      </c>
      <c r="N13" s="75" t="n">
        <v>2453062</v>
      </c>
      <c r="O13" s="75" t="n">
        <v>4555688</v>
      </c>
      <c r="P13" s="75" t="n">
        <v>7335000</v>
      </c>
      <c r="Q13" s="75" t="n">
        <v>2567250</v>
      </c>
      <c r="R13" s="75" t="n">
        <v>4767750</v>
      </c>
    </row>
    <row r="14" ht="15" customHeight="1" s="36">
      <c r="A14" s="49" t="inlineStr">
        <is>
          <t>K. Additional Sectors</t>
        </is>
      </c>
      <c r="B14" s="74" t="n">
        <v>0.5</v>
      </c>
      <c r="C14" s="74" t="n">
        <v>0.5</v>
      </c>
      <c r="D14" s="75" t="n">
        <v>0</v>
      </c>
      <c r="E14" s="75" t="n">
        <v>0</v>
      </c>
      <c r="F14" s="75" t="n">
        <v>0</v>
      </c>
      <c r="G14" s="75" t="n">
        <v>0</v>
      </c>
      <c r="H14" s="75" t="n">
        <v>0</v>
      </c>
      <c r="I14" s="75" t="n">
        <v>0</v>
      </c>
      <c r="J14" s="75" t="n">
        <v>1417500</v>
      </c>
      <c r="K14" s="75" t="n">
        <v>708750</v>
      </c>
      <c r="L14" s="75" t="n">
        <v>708750</v>
      </c>
      <c r="M14" s="75" t="n">
        <v>4410000</v>
      </c>
      <c r="N14" s="75" t="n">
        <v>2205000</v>
      </c>
      <c r="O14" s="75" t="n">
        <v>2205000</v>
      </c>
      <c r="P14" s="75" t="n">
        <v>7560000</v>
      </c>
      <c r="Q14" s="75" t="n">
        <v>3780000</v>
      </c>
      <c r="R14" s="75" t="n">
        <v>3780000</v>
      </c>
    </row>
    <row r="15" ht="15" customHeight="1" s="36">
      <c r="A15" s="49" t="inlineStr">
        <is>
          <t>L. RE Rental Expansion</t>
        </is>
      </c>
      <c r="B15" s="74" t="n">
        <v>0.7</v>
      </c>
      <c r="C15" s="74" t="n">
        <v>0.3</v>
      </c>
      <c r="D15" s="75" t="n">
        <v>0</v>
      </c>
      <c r="E15" s="75" t="n">
        <v>0</v>
      </c>
      <c r="F15" s="75" t="n">
        <v>0</v>
      </c>
      <c r="G15" s="75" t="n">
        <v>6930000</v>
      </c>
      <c r="H15" s="75" t="n">
        <v>4851000</v>
      </c>
      <c r="I15" s="75" t="n">
        <v>2079000</v>
      </c>
      <c r="J15" s="75" t="n">
        <v>17010000</v>
      </c>
      <c r="K15" s="75" t="n">
        <v>11907000</v>
      </c>
      <c r="L15" s="75" t="n">
        <v>5103000</v>
      </c>
      <c r="M15" s="75" t="n">
        <v>22050000</v>
      </c>
      <c r="N15" s="75" t="n">
        <v>15435000</v>
      </c>
      <c r="O15" s="75" t="n">
        <v>6615000</v>
      </c>
      <c r="P15" s="75" t="n">
        <v>23940000</v>
      </c>
      <c r="Q15" s="75" t="n">
        <v>16758000</v>
      </c>
      <c r="R15" s="75" t="n">
        <v>7182000</v>
      </c>
    </row>
    <row r="16" ht="15" customHeight="1" s="36">
      <c r="A16" s="49" t="inlineStr">
        <is>
          <t>M. Flagship &amp; Investment</t>
        </is>
      </c>
      <c r="B16" s="74" t="n">
        <v>0.65</v>
      </c>
      <c r="C16" s="74" t="n">
        <v>0.35</v>
      </c>
      <c r="D16" s="75" t="n">
        <v>0</v>
      </c>
      <c r="E16" s="75" t="n">
        <v>0</v>
      </c>
      <c r="F16" s="75" t="n">
        <v>0</v>
      </c>
      <c r="G16" s="75" t="n">
        <v>0</v>
      </c>
      <c r="H16" s="75" t="n">
        <v>0</v>
      </c>
      <c r="I16" s="75" t="n">
        <v>0</v>
      </c>
      <c r="J16" s="75" t="n">
        <v>0</v>
      </c>
      <c r="K16" s="75" t="n">
        <v>0</v>
      </c>
      <c r="L16" s="75" t="n">
        <v>0</v>
      </c>
      <c r="M16" s="75" t="n">
        <v>1417500</v>
      </c>
      <c r="N16" s="75" t="n">
        <v>921375</v>
      </c>
      <c r="O16" s="75" t="n">
        <v>496125</v>
      </c>
      <c r="P16" s="75" t="n">
        <v>5737500</v>
      </c>
      <c r="Q16" s="75" t="n">
        <v>3729375</v>
      </c>
      <c r="R16" s="75" t="n">
        <v>2008125</v>
      </c>
    </row>
    <row r="17" ht="15" customHeight="1" s="36">
      <c r="A17" s="76" t="inlineStr">
        <is>
          <t>TOTAL</t>
        </is>
      </c>
      <c r="B17" s="76" t="inlineStr"/>
      <c r="C17" s="76" t="inlineStr"/>
      <c r="D17" s="77" t="n">
        <v>33705000</v>
      </c>
      <c r="E17" s="77" t="n">
        <v>23215500</v>
      </c>
      <c r="F17" s="77" t="n">
        <v>10489500</v>
      </c>
      <c r="G17" s="77" t="n">
        <v>107910000</v>
      </c>
      <c r="H17" s="77" t="n">
        <v>68631749</v>
      </c>
      <c r="I17" s="77" t="n">
        <v>39278251</v>
      </c>
      <c r="J17" s="77" t="n">
        <v>198348750</v>
      </c>
      <c r="K17" s="77" t="n">
        <v>117885374</v>
      </c>
      <c r="L17" s="77" t="n">
        <v>80463376</v>
      </c>
      <c r="M17" s="77" t="n">
        <v>252861000</v>
      </c>
      <c r="N17" s="77" t="n">
        <v>143311086</v>
      </c>
      <c r="O17" s="77" t="n">
        <v>109549914</v>
      </c>
      <c r="P17" s="77" t="n">
        <v>286816500</v>
      </c>
      <c r="Q17" s="77" t="n">
        <v>157643100</v>
      </c>
      <c r="R17" s="77" t="n">
        <v>129173400</v>
      </c>
    </row>
    <row r="18" ht="15" customHeight="1" s="36"/>
    <row r="19" ht="15" customHeight="1" s="36">
      <c r="A19" s="78" t="inlineStr">
        <is>
          <t>Five-year totals (Years 1-5)</t>
        </is>
      </c>
    </row>
    <row r="20" ht="15" customHeight="1" s="36">
      <c r="A20" s="35" t="inlineStr">
        <is>
          <t>Total advertising &amp; media</t>
        </is>
      </c>
      <c r="B20" s="80" t="n">
        <v>879641250</v>
      </c>
    </row>
    <row r="21">
      <c r="A21" s="35" t="inlineStr">
        <is>
          <t>Of which screentime</t>
        </is>
      </c>
      <c r="B21" s="80" t="n">
        <v>510686809</v>
      </c>
    </row>
    <row r="22">
      <c r="A22" s="35" t="inlineStr">
        <is>
          <t>Of which airtime</t>
        </is>
      </c>
      <c r="B22" s="80" t="n">
        <v>368954441</v>
      </c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58" customWidth="1" style="36" min="1" max="1"/>
    <col width="30" customWidth="1" style="36" min="2" max="2"/>
    <col width="22" customWidth="1" style="36" min="3" max="3"/>
  </cols>
  <sheetData>
    <row r="1">
      <c r="A1" s="73" t="inlineStr">
        <is>
          <t>Media Rate Card — Prevailing Kenyan Market Rates (KES)</t>
        </is>
      </c>
    </row>
    <row r="2">
      <c r="A2" s="35" t="inlineStr">
        <is>
          <t>Reference benchmarks for media procurement. Contract rates are negotiated against these figures.</t>
        </is>
      </c>
    </row>
    <row r="4">
      <c r="A4" s="81" t="inlineStr">
        <is>
          <t>Screentime</t>
        </is>
      </c>
      <c r="B4" s="35" t="inlineStr">
        <is>
          <t>Unit</t>
        </is>
      </c>
      <c r="C4" s="35" t="inlineStr">
        <is>
          <t>Rate (KES)</t>
        </is>
      </c>
    </row>
    <row r="5">
      <c r="A5" s="35" t="inlineStr">
        <is>
          <t>National terrestrial TV, prime-time 30-second spot</t>
        </is>
      </c>
      <c r="B5" s="35" t="inlineStr">
        <is>
          <t>per spot</t>
        </is>
      </c>
      <c r="C5" s="35" t="inlineStr">
        <is>
          <t>450,000 - 800,000</t>
        </is>
      </c>
    </row>
    <row r="6">
      <c r="A6" s="35" t="inlineStr">
        <is>
          <t>National TV, off-peak 30-second spot</t>
        </is>
      </c>
      <c r="B6" s="35" t="inlineStr">
        <is>
          <t>per spot</t>
        </is>
      </c>
      <c r="C6" s="35" t="inlineStr">
        <is>
          <t>150,000 - 350,000</t>
        </is>
      </c>
    </row>
    <row r="7">
      <c r="A7" s="35" t="inlineStr">
        <is>
          <t>Regional and vernacular TV, 30-second spot</t>
        </is>
      </c>
      <c r="B7" s="35" t="inlineStr">
        <is>
          <t>per spot</t>
        </is>
      </c>
      <c r="C7" s="35" t="inlineStr">
        <is>
          <t>40,000 - 120,000</t>
        </is>
      </c>
    </row>
    <row r="8">
      <c r="A8" s="35" t="inlineStr">
        <is>
          <t>Large-format billboard, Nairobi metro</t>
        </is>
      </c>
      <c r="B8" s="35" t="inlineStr">
        <is>
          <t>per panel per month</t>
        </is>
      </c>
      <c r="C8" s="35" t="inlineStr">
        <is>
          <t>250,000 - 650,000</t>
        </is>
      </c>
    </row>
    <row r="9">
      <c r="A9" s="35" t="inlineStr">
        <is>
          <t>County-town billboard</t>
        </is>
      </c>
      <c r="B9" s="35" t="inlineStr">
        <is>
          <t>per panel per month</t>
        </is>
      </c>
      <c r="C9" s="35" t="inlineStr">
        <is>
          <t>80,000 - 250,000</t>
        </is>
      </c>
    </row>
    <row r="10">
      <c r="A10" s="35" t="inlineStr">
        <is>
          <t>Digital out-of-home screen (mall and fuel-station networks)</t>
        </is>
      </c>
      <c r="B10" s="35" t="inlineStr">
        <is>
          <t>per screen per month</t>
        </is>
      </c>
      <c r="C10" s="35" t="inlineStr">
        <is>
          <t>35,000 - 120,000</t>
        </is>
      </c>
    </row>
    <row r="11">
      <c r="A11" s="35" t="inlineStr">
        <is>
          <t>Digital display and video</t>
        </is>
      </c>
      <c r="B11" s="35" t="inlineStr">
        <is>
          <t>cost per 1,000 impressions</t>
        </is>
      </c>
      <c r="C11" s="35" t="inlineStr">
        <is>
          <t>300 - 900</t>
        </is>
      </c>
    </row>
    <row r="12">
      <c r="A12" s="35" t="inlineStr">
        <is>
          <t>Cinema, 30-second spot</t>
        </is>
      </c>
      <c r="B12" s="35" t="inlineStr">
        <is>
          <t>per screen per week</t>
        </is>
      </c>
      <c r="C12" s="35" t="inlineStr">
        <is>
          <t>45,000 - 150,000</t>
        </is>
      </c>
    </row>
    <row r="14">
      <c r="A14" s="81" t="inlineStr">
        <is>
          <t>Airtime</t>
        </is>
      </c>
      <c r="B14" s="35" t="inlineStr">
        <is>
          <t>Unit</t>
        </is>
      </c>
      <c r="C14" s="35" t="inlineStr">
        <is>
          <t>Rate (KES)</t>
        </is>
      </c>
    </row>
    <row r="15">
      <c r="A15" s="35" t="inlineStr">
        <is>
          <t>National radio, prime-time 30-second spot</t>
        </is>
      </c>
      <c r="B15" s="35" t="inlineStr">
        <is>
          <t>per spot</t>
        </is>
      </c>
      <c r="C15" s="35" t="inlineStr">
        <is>
          <t>30,000 - 95,000</t>
        </is>
      </c>
    </row>
    <row r="16">
      <c r="A16" s="35" t="inlineStr">
        <is>
          <t>Vernacular radio, 30-second spot</t>
        </is>
      </c>
      <c r="B16" s="35" t="inlineStr">
        <is>
          <t>per spot</t>
        </is>
      </c>
      <c r="C16" s="35" t="inlineStr">
        <is>
          <t>8,000 - 35,000</t>
        </is>
      </c>
    </row>
    <row r="17">
      <c r="A17" s="35" t="inlineStr">
        <is>
          <t>Community radio, 30-second spot</t>
        </is>
      </c>
      <c r="B17" s="35" t="inlineStr">
        <is>
          <t>per spot</t>
        </is>
      </c>
      <c r="C17" s="35" t="inlineStr">
        <is>
          <t>2,500 - 12,000</t>
        </is>
      </c>
    </row>
    <row r="18">
      <c r="A18" s="35" t="inlineStr">
        <is>
          <t>Sponsored talk segment, 30 minutes</t>
        </is>
      </c>
      <c r="B18" s="35" t="inlineStr">
        <is>
          <t>per segment</t>
        </is>
      </c>
      <c r="C18" s="35" t="inlineStr">
        <is>
          <t>100,000 - 400,000</t>
        </is>
      </c>
    </row>
    <row r="19">
      <c r="A19" s="35" t="inlineStr">
        <is>
          <t>Bulk SMS</t>
        </is>
      </c>
      <c r="B19" s="35" t="inlineStr">
        <is>
          <t>per 100,000 messages</t>
        </is>
      </c>
      <c r="C19" s="35" t="inlineStr">
        <is>
          <t>45,000 - 120,000</t>
        </is>
      </c>
    </row>
    <row r="20">
      <c r="A20" s="35" t="inlineStr">
        <is>
          <t>USSD campaign</t>
        </is>
      </c>
      <c r="B20" s="35" t="inlineStr">
        <is>
          <t>per session</t>
        </is>
      </c>
      <c r="C20" s="35" t="inlineStr">
        <is>
          <t>1 - 3</t>
        </is>
      </c>
    </row>
    <row r="21">
      <c r="A21" s="35" t="inlineStr">
        <is>
          <t>Digital audio (streaming and podcast)</t>
        </is>
      </c>
      <c r="B21" s="35" t="inlineStr">
        <is>
          <t>cost per 1,000 impressions</t>
        </is>
      </c>
      <c r="C21" s="35" t="inlineStr">
        <is>
          <t>250 - 700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8" customWidth="1" style="36" min="1" max="1"/>
    <col width="20" customWidth="1" style="36" min="2" max="2"/>
  </cols>
  <sheetData>
    <row r="1">
      <c r="A1" s="73" t="inlineStr">
        <is>
          <t>Full-Maturity Position (Year 7 stabilised)</t>
        </is>
      </c>
    </row>
    <row r="2">
      <c r="A2" t="inlineStr">
        <is>
          <t>All 87 pipelines at 100% of steady-state x 1.5 scale factor.</t>
        </is>
      </c>
    </row>
    <row r="3">
      <c r="A3" s="78" t="inlineStr">
        <is>
          <t>Gross revenue per year</t>
        </is>
      </c>
      <c r="B3" s="80" t="n">
        <v>5974500000</v>
      </c>
    </row>
    <row r="4">
      <c r="A4" t="inlineStr">
        <is>
          <t>Advertising &amp; media cost per year (6% of revenue)</t>
        </is>
      </c>
      <c r="B4" s="82" t="n">
        <v>358470000</v>
      </c>
    </row>
    <row r="5">
      <c r="A5" s="78" t="inlineStr">
        <is>
          <t>Net revenue per year</t>
        </is>
      </c>
      <c r="B5" s="80" t="n">
        <v>5616030000</v>
      </c>
    </row>
    <row r="6">
      <c r="A6" s="78" t="inlineStr">
        <is>
          <t>Net run-rate per month</t>
        </is>
      </c>
      <c r="B6" s="80" t="n">
        <v>468002500</v>
      </c>
    </row>
    <row r="7">
      <c r="A7" t="inlineStr">
        <is>
          <t>Equivalent USD per month (at KES 129)</t>
        </is>
      </c>
      <c r="B7" s="82" t="n">
        <v>3627926</v>
      </c>
    </row>
    <row r="8">
      <c r="A8" s="78" t="inlineStr">
        <is>
          <t>Gross maturity by category</t>
        </is>
      </c>
    </row>
    <row r="9">
      <c r="A9" t="inlineStr">
        <is>
          <t>Agriculture</t>
        </is>
      </c>
      <c r="B9" s="82" t="n">
        <v>1470000000</v>
      </c>
    </row>
    <row r="10">
      <c r="A10" t="inlineStr">
        <is>
          <t>Commerce &amp; Discovery</t>
        </is>
      </c>
      <c r="B10" s="82" t="n">
        <v>810000000</v>
      </c>
    </row>
    <row r="11">
      <c r="A11" t="inlineStr">
        <is>
          <t>Tourism</t>
        </is>
      </c>
      <c r="B11" s="82" t="n">
        <v>787500000</v>
      </c>
    </row>
    <row r="12">
      <c r="A12" t="inlineStr">
        <is>
          <t>Real Estate</t>
        </is>
      </c>
      <c r="B12" s="82" t="n">
        <v>457500000</v>
      </c>
    </row>
    <row r="13">
      <c r="A13" t="inlineStr">
        <is>
          <t>Minerals</t>
        </is>
      </c>
      <c r="B13" s="82" t="n">
        <v>424500000</v>
      </c>
    </row>
    <row r="14">
      <c r="A14" t="inlineStr">
        <is>
          <t>RE Rental Expansion</t>
        </is>
      </c>
      <c r="B14" s="82" t="n">
        <v>420000000</v>
      </c>
    </row>
    <row r="15">
      <c r="A15" t="inlineStr">
        <is>
          <t>Flagship &amp; Investment</t>
        </is>
      </c>
      <c r="B15" s="82" t="n">
        <v>367500000</v>
      </c>
    </row>
    <row r="16">
      <c r="A16" t="inlineStr">
        <is>
          <t>Financial Services</t>
        </is>
      </c>
      <c r="B16" s="82" t="n">
        <v>345000000</v>
      </c>
    </row>
    <row r="17">
      <c r="A17" t="inlineStr">
        <is>
          <t>Logistics</t>
        </is>
      </c>
      <c r="B17" s="82" t="n">
        <v>217500000</v>
      </c>
    </row>
    <row r="18">
      <c r="A18" t="inlineStr">
        <is>
          <t>Industrial &amp; SEZ</t>
        </is>
      </c>
      <c r="B18" s="82" t="n">
        <v>210000000</v>
      </c>
    </row>
    <row r="19">
      <c r="A19" t="inlineStr">
        <is>
          <t>Additional Sectors</t>
        </is>
      </c>
      <c r="B19" s="82" t="n">
        <v>210000000</v>
      </c>
    </row>
    <row r="20">
      <c r="A20" t="inlineStr">
        <is>
          <t>Energy &amp; Infra</t>
        </is>
      </c>
      <c r="B20" s="82" t="n">
        <v>127500000</v>
      </c>
    </row>
    <row r="21">
      <c r="A21" t="inlineStr">
        <is>
          <t>Government</t>
        </is>
      </c>
      <c r="B21" s="82" t="n">
        <v>127500000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2026-09-18T11:30:31Z</dcterms:created>
  <dcterms:modified xmlns:dcterms="http://purl.org/dc/terms/" xmlns:xsi="http://www.w3.org/2001/XMLSchema-instance" xsi:type="dcterms:W3CDTF">2026-09-18T12:39:31Z</dcterms:modified>
  <cp:revision>1</cp:revision>
</cp:coreProperties>
</file>